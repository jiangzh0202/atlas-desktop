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 tabRatio="323" firstSheet="1"/>
  </bookViews>
  <sheets>
    <sheet name="客户原表" sheetId="1" r:id="rId1"/>
    <sheet name="报价留底" sheetId="2" r:id="rId2"/>
    <sheet name="报价策略" sheetId="3" r:id="rId3"/>
    <sheet name="quotation" sheetId="4" r:id="rId4"/>
  </sheets>
  <externalReferences>
    <externalReference r:id="rId5"/>
  </externalReferences>
  <definedNames>
    <definedName name="_xlnm._FilterDatabase" localSheetId="1" hidden="1">报价留底!$A$2:$V$171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T121" authorId="0">
      <text>
        <r>
          <rPr>
            <b/>
            <sz val="9"/>
            <rFont val="宋体"/>
            <charset val="134"/>
          </rPr>
          <t>Administrator:舍弗勒售价</t>
        </r>
      </text>
    </comment>
  </commentList>
</comments>
</file>

<file path=xl/sharedStrings.xml><?xml version="1.0" encoding="utf-8"?>
<sst xmlns="http://schemas.openxmlformats.org/spreadsheetml/2006/main" count="2408" uniqueCount="548">
  <si>
    <t>Заказ поставщику от 17 сентября 2025 г.</t>
  </si>
  <si>
    <t>№</t>
  </si>
  <si>
    <t>Артикул</t>
  </si>
  <si>
    <t>Товары (работы, услуги)</t>
  </si>
  <si>
    <t>Кол-во</t>
  </si>
  <si>
    <t>Ед.</t>
  </si>
  <si>
    <t>Цена</t>
  </si>
  <si>
    <t>SASH0000743</t>
  </si>
  <si>
    <t>Блок цилиндров в сборе FOTON 2.5 (G21A)</t>
  </si>
  <si>
    <t>шт</t>
  </si>
  <si>
    <t>J100D2.800001AE5321</t>
  </si>
  <si>
    <t>Блок цилиндров в сборе ГАЗель Cummins 2.8 F (O-)</t>
  </si>
  <si>
    <t>SAM40000788</t>
  </si>
  <si>
    <t>Блок цилиндров в сборе с ГБЦ и клап. крышкой FOTON 2.5 (G21A)</t>
  </si>
  <si>
    <t>J100C2.800001AJTB/TJZD4-2</t>
  </si>
  <si>
    <t>Блок цилиндров в сборе с головкой, поддоном и кр. клапанов (без модуля) Е-3/4 Cummins 2.8 (уп.FOTON)</t>
  </si>
  <si>
    <t>J100C2.800001AJTB/TJZD5-2</t>
  </si>
  <si>
    <t>Блок цилиндров в сборе с головкой, поддоном и кр. клапанов (без модуля) Е-5 Cummins 2.8 (уп.FOTON)</t>
  </si>
  <si>
    <t>5306414/5528792</t>
  </si>
  <si>
    <t>Блок цилиндров Валдай Cummins 3.8 ЕВРО 4 (O+)</t>
  </si>
  <si>
    <t>5261257/5334639/6486771</t>
  </si>
  <si>
    <t>Блок цилиндров ГАЗель Cummins 2.8 5261257 (O+)</t>
  </si>
  <si>
    <t>Болт креления форсунки M10х1,5х100 ГАЗель Cummins 2.8 (O+)</t>
  </si>
  <si>
    <t>Болт крепления впускного коллектора М6х1,00х25 ГАЗель Cummins 2.8 (O+)</t>
  </si>
  <si>
    <t>Болт крепления стартера (М10х1,5х35) ГАЗель Cummins 2.8 (O+)</t>
  </si>
  <si>
    <t>Болт передней крышки M8x1 25x35 ГАЗель Cummins 2.8 (O+)</t>
  </si>
  <si>
    <t>5264231/5443207</t>
  </si>
  <si>
    <t>Вал коленчатый ГАЗель Cummins 2.8 н/о (O+)</t>
  </si>
  <si>
    <t>Вал промежуточный Cummins 2.8 (O+)</t>
  </si>
  <si>
    <t>Вал распределительный ГАЗель Cummins 2.8 (O+)</t>
  </si>
  <si>
    <t>Вкладыш коренной верхний ГАЗель Cummins 2.8 (мин.партия 4 шт.) (O+)</t>
  </si>
  <si>
    <t>Вкладыш коренной нижний ГАЗель Cummins 2.8 (мин.партия 5 шт.) (O+)</t>
  </si>
  <si>
    <t>Вкладыш коренной упорный ГАЗель Cummins 2.8 (мин.партия 1 шт.) (O+)</t>
  </si>
  <si>
    <t>5348887/5261124/5340181</t>
  </si>
  <si>
    <t>Вкладыш шатунный верхний ГАЗель Cummins 2.8 (5284536) н/о (мин.партия 4 шт.) (O+)</t>
  </si>
  <si>
    <t>5261125/5340182</t>
  </si>
  <si>
    <t>Вкладыш шатунный нижний ГАЗель Cummins 2.8 (5284537) (мин.партия 4 шт.) (O+)</t>
  </si>
  <si>
    <t>Втулка распредвала дв.Cummins ISF 2.8 (O+)</t>
  </si>
  <si>
    <t>Генератор Валдай Cummins 3.8 (O+)</t>
  </si>
  <si>
    <t>5272666/5318121</t>
  </si>
  <si>
    <t>Генератор ГАЗель Cummins 2.8 (под клемму) н/о (O+)</t>
  </si>
  <si>
    <t>PSH0008994</t>
  </si>
  <si>
    <t>Генератор на двигатель FOTON 2.5 с вакуумным насосом в сборе 14V 140A (О+)</t>
  </si>
  <si>
    <t>5258274/5271866</t>
  </si>
  <si>
    <t>Головка блока цилиндров Валдай Cummins 3.8 (O+)</t>
  </si>
  <si>
    <t>5271176/5307154</t>
  </si>
  <si>
    <t>Головка блока цилиндров ГАЗель Cummins 2.8 (O+)</t>
  </si>
  <si>
    <t>4921322/2897333/5698455</t>
  </si>
  <si>
    <t>Датчик температуры и давления наддува ГАЗель, Валдай Cummins 2.8, 3.8 (ISBe,ISDe,ISF) (O+)</t>
  </si>
  <si>
    <t>Датчик числа оборотов ГАЗель Cummins 2.8 (Евро-4) 5491326/4327230/2897342 (O+)</t>
  </si>
  <si>
    <t>Жгут проводов к модулю управления дв.ISF 2.8 ГАЗель Бизнес Евро 4 (О+)</t>
  </si>
  <si>
    <t>5317247/5311889</t>
  </si>
  <si>
    <t>Жгут проводов к модулю управления дв.ISF 2.8 Евро 4 (О+)</t>
  </si>
  <si>
    <t>Заглушка ГБЦ  ГАЗель, Валдай Cummins 2.8, 3.8 (O+)</t>
  </si>
  <si>
    <t>Картер масляный Валдай дв.Cummins ISF 3.8 (5302030, 5266886, 5266884) 2 масл. канальчика (O+)</t>
  </si>
  <si>
    <t>Картер масляный ЕВРО-4 ГАЗель Cummins 2.8 б/отв в сборе (O+)</t>
  </si>
  <si>
    <t>Картер масляный ЕВРО-5 ГАЗель Cummins 2.8 (O+)</t>
  </si>
  <si>
    <t>5261320/5308264</t>
  </si>
  <si>
    <t>Клапан впускной ГАЗель Cummins 2.8 (O+)</t>
  </si>
  <si>
    <t>PSH0008874</t>
  </si>
  <si>
    <t>Коллектор выпускной FOTON 2.5 (G21)</t>
  </si>
  <si>
    <t>Коллектор выпускной ГАЗель Cummins 2.8 Е-3 (O+)</t>
  </si>
  <si>
    <t>Коллектор выпускной ГАЗель Cummins 2.8 Е-4 (O+)</t>
  </si>
  <si>
    <t>PV10001499</t>
  </si>
  <si>
    <t>Колпачок м/с FOTON 2.5 (G21)</t>
  </si>
  <si>
    <t>4976170/5338751</t>
  </si>
  <si>
    <t>Колпачок м/с ГАЗель Cummins 2.8 (мин.партия 8 шт.) (O+)</t>
  </si>
  <si>
    <t>5290486/F00VC17503</t>
  </si>
  <si>
    <t>Кольцо медное под форсунку  Cummins (упак. 10шт) (O+)</t>
  </si>
  <si>
    <t>5258619/5291706</t>
  </si>
  <si>
    <t>Кольцо медное подачи масла на ТРК (кольцо медное) Газель Cummins 2.8 (упак. 10 шт) (O+)</t>
  </si>
  <si>
    <t>5272201/5311011</t>
  </si>
  <si>
    <t>Кольцо стопорное поршневого пальца ГАЗель Cummins 2.8 (O+)</t>
  </si>
  <si>
    <t>Кольцо уплот. водяного насоса, ТНВД ГАЗель Cummins 2.8 (O+)</t>
  </si>
  <si>
    <t>Кольцо уплот. пробки поддона Газель, Валдай Cummins (O+)</t>
  </si>
  <si>
    <t>Кольцо уплотнит. корпуса термостата и перепуск. трубы ГАЗель Cummins 2.8 (O+)</t>
  </si>
  <si>
    <t>SDXB-2.5-B</t>
  </si>
  <si>
    <t>Комплект прокладок (прокладка ГБЦ с 1 отверстием) NEXT NN G-21 (оригинал) (уп. Foton)</t>
  </si>
  <si>
    <t>компл</t>
  </si>
  <si>
    <t>Cummins ISF 2.8 Е-3/4 (P)</t>
  </si>
  <si>
    <t>Комплект прокладок двигателя Cummins 2.8 Е-3/4 (полный) уп. Cummins</t>
  </si>
  <si>
    <t>SDXB-2.5-DE3544-A</t>
  </si>
  <si>
    <t>Комплект прокладок двигателя FOTON 2.5 (ПГБ б/отверстий)</t>
  </si>
  <si>
    <t>5003-2.8</t>
  </si>
  <si>
    <t>Комплект прокладок двигателя Газель Cummins 2.8 (WDXB-2.8-LZHN6846) (O+)</t>
  </si>
  <si>
    <t>5003-3.8 PAZ</t>
  </si>
  <si>
    <t>Комплект прокладок двигателя ПАЗ Cummins 3.8 (WDXB-3.8-ZHN6846) (O+)</t>
  </si>
  <si>
    <t xml:space="preserve">J5268950W0453                               </t>
  </si>
  <si>
    <t>Компрессор воздушный (1-цил.) Cummins ISF 3,8 Валдай (O-)</t>
  </si>
  <si>
    <t>PM40004179</t>
  </si>
  <si>
    <t>Коромысло FOTON 2.5 (G21)</t>
  </si>
  <si>
    <t>Коромысло в сборе впускное ГАЗель Cummins 2.8 (O+)</t>
  </si>
  <si>
    <t>Коромысло в сборе выпускное ГАЗель Cummins 2.8 (O+)</t>
  </si>
  <si>
    <t>5264757/5293669</t>
  </si>
  <si>
    <t>Корпус термостата ГАЗель Cummins 2.8 (O+)</t>
  </si>
  <si>
    <t>Корпус термостата ГАЗель ЕВРО-4 Cummins 2.8 (O+)</t>
  </si>
  <si>
    <t>5588790/5302892</t>
  </si>
  <si>
    <t>Крышка двигателя передняя Евро 4  (насос маслянный в сборе, под дат. 4327230)  дв.Cummins 3.8 (O+)</t>
  </si>
  <si>
    <t>5287847T/Р1100130100А0</t>
  </si>
  <si>
    <t>Крышка защиты двигателя ГАЗель Cummins 2.8</t>
  </si>
  <si>
    <t>Крышка клапанов ГАЗель Cummins 2.8 (O+)</t>
  </si>
  <si>
    <t>Крышка клапанов ГАЗель Cummins 2.8 ЕВРО 5 (O+)</t>
  </si>
  <si>
    <t>Крышка корпуса термостата ГАЗель Cummins 2.8 (O+)</t>
  </si>
  <si>
    <t>Крышка цепного привода в сб. ГАЗель Cummins 2.8 (O+)</t>
  </si>
  <si>
    <t>PSH0006970</t>
  </si>
  <si>
    <t>Маслоохладитель FOTON 2.5 (G21) PS10009089, PSH0009140</t>
  </si>
  <si>
    <t>PV10005730</t>
  </si>
  <si>
    <t>Маховик NEXT NN G-21A (оригинал) (уп. Foton)</t>
  </si>
  <si>
    <t>Маховик ГАЗель Cummins 2.8 (O+)</t>
  </si>
  <si>
    <t>Маховик ГАЗель Cummins 2.8 н/о (O+)</t>
  </si>
  <si>
    <t>PSH0009091</t>
  </si>
  <si>
    <t>Механизм натяжения ремня FOTON 2.5 (PM40005046 )</t>
  </si>
  <si>
    <t>5267127/5287021</t>
  </si>
  <si>
    <t>Механизм натяжения ремня ГАЗ,ПАЗ дв.CUMMINS ISF 3.8 (O+)</t>
  </si>
  <si>
    <t>Механизм натяжения ремня ГАЗель Cummins 2.8 (O+)</t>
  </si>
  <si>
    <t>5332218/5398362</t>
  </si>
  <si>
    <t>Механизм натяжения ремня ГАЗель Cummins 2.8 ЕВРО-4 (O+)</t>
  </si>
  <si>
    <t>Механизм натяжения ремня ГАЗель Cummins 2.8 ЕВРО-5 (O+)</t>
  </si>
  <si>
    <t>5670414/5563774/5474753</t>
  </si>
  <si>
    <t>Модуль маслоохладителя б/отв (крышка передняя, масляный насос) ан. 5302884 Cummins ISF 2,8 Газель (O+)</t>
  </si>
  <si>
    <t>Модуль маслоохладителя Валдай Некст Cummins 2.8 (крышка передняя, масляный насос)</t>
  </si>
  <si>
    <t>5670418/5569573/5474752</t>
  </si>
  <si>
    <t>Модуль маслоохладителя с отв. (крышка передняя, масляный насос) ан. 5302887 Cummins ISF 2,8 Газель (O+)</t>
  </si>
  <si>
    <t>Направляющая ГБЦ дв.Cummins 2.8 (O+)</t>
  </si>
  <si>
    <t>Насос вакуумный ГАЗель Cummins 2.8 (O+)</t>
  </si>
  <si>
    <t>5333035/5288908/5263374</t>
  </si>
  <si>
    <t>Насос водяной в сборе Валдай Cummins 3.8 (5333035/5288908/5263374) (O+)</t>
  </si>
  <si>
    <t>5269784/5333148</t>
  </si>
  <si>
    <t>Насос водяной в сборе ГАЗель Cummins 2.8 (O+)</t>
  </si>
  <si>
    <t>PM40004188</t>
  </si>
  <si>
    <t>Насос водяной в сборе ГАЗЕЛЬ FOTON 2.5</t>
  </si>
  <si>
    <t>PSH0008977</t>
  </si>
  <si>
    <t>Насос ГУР FOTON 2.5 (G21)</t>
  </si>
  <si>
    <t>Насос ГУР ГАЗель Cummins 2.8 NEXT (O+)</t>
  </si>
  <si>
    <t>Насос топливный (0445020122) Валдай Cummins 3.8 (O+)</t>
  </si>
  <si>
    <t>5318651/5294402</t>
  </si>
  <si>
    <t>Насос топливный (Denso) Валдай Cummins 3.8 (O+)</t>
  </si>
  <si>
    <t>Насос топливный ГАЗель Cummins 2.8 (O+)</t>
  </si>
  <si>
    <t>PM40004042</t>
  </si>
  <si>
    <t>Натяжитель ремня ГРМ дв. G21</t>
  </si>
  <si>
    <t>Натяжитель цепи ГАЗель Cummins 2.8 (O+)</t>
  </si>
  <si>
    <t>Опора вентилятора ГАЗ 3302 дв.Cummins 2.8 (6 отверстий) (O+)</t>
  </si>
  <si>
    <t>5257057/5477660</t>
  </si>
  <si>
    <t>Палец поршневой ГАЗель Cummins 2.8 (O+)</t>
  </si>
  <si>
    <t>Патрубок вод. перекачивающий в сб. ГАЗель Cummins 2.8 (O+)</t>
  </si>
  <si>
    <t>5566279/5285962</t>
  </si>
  <si>
    <t>Подогреватель впускного воздуха ГАЗель Cummins 2.8 ЕВРО-4(свеча накала) (O+)</t>
  </si>
  <si>
    <t>Подшипник первичного вала, маховика ГАЗель Cummins 2.8 (O+)</t>
  </si>
  <si>
    <t>Поршень в сборе с кольцами ГАЗель Cummins 2.8 (4995266) (O+)</t>
  </si>
  <si>
    <t>Поршень в сборе с кольцами ГАЗель Cummins 2.8 ЕВРО-5 (5446505) (O+)</t>
  </si>
  <si>
    <t>Поршень ГАЗ 33106 дв.Cummins ISF 3.8 без колец (O+)</t>
  </si>
  <si>
    <t>Поршень ГАЗель Cummins 2.8 (5446506) (O+)</t>
  </si>
  <si>
    <t>Прокладка вакуумного насоса ГАЗель Cummins 2.8 (O+)</t>
  </si>
  <si>
    <t>Прокладка впускного коллектора ГАЗель Cummins 2.8 (O+)</t>
  </si>
  <si>
    <t>Прокладка выпускного коллектора Газель Cummins 2.8 (O+)</t>
  </si>
  <si>
    <t>4943051/5345648</t>
  </si>
  <si>
    <t>Прокладка головки блока Валдай Cummins 3.8 (5345648) (O+)</t>
  </si>
  <si>
    <t>5257187/5345647</t>
  </si>
  <si>
    <t>Прокладка головки блока Газель Cummins 2.8 (5345647) (O+)</t>
  </si>
  <si>
    <t>Прокладка клапанной крышки Валдай Cummins 3.8 (O+)</t>
  </si>
  <si>
    <t>Прокладка клапанной крышки ГАЗель Cummins 2.8 (O+)</t>
  </si>
  <si>
    <t>Прокладка корпуса термостата ГАЗель Cummins 2.8 (O+)</t>
  </si>
  <si>
    <t>660.490/5264477</t>
  </si>
  <si>
    <t>Прокладка корпуса шестерен ГАЗель Cummins 2.8 (Elring)</t>
  </si>
  <si>
    <t>5361694/5448201</t>
  </si>
  <si>
    <t>Прокладка корпуса шестерен н/о ГАЗель Cummins 2.8 (O+)</t>
  </si>
  <si>
    <t>Прокладка крышки цепного привода ГАЗель Cummins 2.8 (O+)</t>
  </si>
  <si>
    <t>Прокладка масляного картера Валдай дв.Cummins 3.8 (2 масл канал) (O+)</t>
  </si>
  <si>
    <t>Прокладка масляного картера ГАЗель дв.Cummins 2.8 (O+)</t>
  </si>
  <si>
    <t>Прокладка масляного картера ГАЗель Е5 дв.Cummins 2.8 (O+)</t>
  </si>
  <si>
    <t>Прокладка масляного охладителя Газель Cummins 2.8 (O+)</t>
  </si>
  <si>
    <t>3819900/3934638</t>
  </si>
  <si>
    <t>Прокладка патрубка слива масла из турбины Газель Cummins 2.8 (O+)</t>
  </si>
  <si>
    <t>5262686/5521024</t>
  </si>
  <si>
    <t>Прокладка передней крышки Газель Cummins 2.8 (O+)</t>
  </si>
  <si>
    <t>Прокладка сажевого фильтра для Cummins ISF 2.8L Евро-5 (O+)</t>
  </si>
  <si>
    <t>Прокладка турбины выпускного патрубка (фигурная) Газель Cummins 2.8 (O+)</t>
  </si>
  <si>
    <t>Прокладка турбокомпрессора ГАЗель, Валдай Cummins 2.8, 3.8 универсальная (O+)</t>
  </si>
  <si>
    <t>Прокладка форсунки Газель Cummins 2.8 (O+)</t>
  </si>
  <si>
    <t>Рейка топливная (топливопровод) в сб. Газель Cummins 2.8 (O+)</t>
  </si>
  <si>
    <t>Рем.комплект цепного привода ISF2.8 (цепь, натяжитель, 2 звезды, 2 успокоителя) (O+)</t>
  </si>
  <si>
    <t>Ремень 2190 генератора Валдай Cummins 3.8 (O+)</t>
  </si>
  <si>
    <t>PM40008228</t>
  </si>
  <si>
    <t>Ремень 7РК-2295 генератора ФОТОН 2.5</t>
  </si>
  <si>
    <t>РМ40004041</t>
  </si>
  <si>
    <t>Ремень ГРМ FOTON 2.5</t>
  </si>
  <si>
    <t>РМ40008431</t>
  </si>
  <si>
    <t>Ролик ГРМ в сборе дв. G21</t>
  </si>
  <si>
    <t>Ролик натяжной  верх. промеж. ГАЗель Cummins (5309066) (O+)</t>
  </si>
  <si>
    <t>РМ40005155</t>
  </si>
  <si>
    <t>Ролик натяжной нижний (2шт на двиг.) FOTON 2.5</t>
  </si>
  <si>
    <t>Ролик паразитный правый Валдай Cummins 3.8 (O+)</t>
  </si>
  <si>
    <t>Ролик промежуточный нижний гладкий Cummins ISF 2.8/3.8 (O+)</t>
  </si>
  <si>
    <t>Сальник к/вала передний Газель Cummins 2.8 (O+)</t>
  </si>
  <si>
    <t>Сальник клапанной крышки Газель Cummins 2.8 (10 шт.) (O+)</t>
  </si>
  <si>
    <t>Сальник передней крышки Газель Cummins 2.8 (5269879) (O+)</t>
  </si>
  <si>
    <t>РV10001782</t>
  </si>
  <si>
    <t>Свеча накала FOTON 2.5 (G21)</t>
  </si>
  <si>
    <t>5274913/A2076</t>
  </si>
  <si>
    <t>Сепаратор топливный ГАЗ 3302 дв.Cummins ISF 2.8 в сборе (FH21077/FH21076/FH21086) (O+)</t>
  </si>
  <si>
    <t>PSH0008996</t>
  </si>
  <si>
    <t>Стартер FOTON 2.5</t>
  </si>
  <si>
    <t>5263797/5441679 (12V)</t>
  </si>
  <si>
    <t>Стартер Валдай Cummins 3.8 (4 KW 12 B) 5268413 с реле (O+)</t>
  </si>
  <si>
    <t>5363153/5311304</t>
  </si>
  <si>
    <t>Стартер (12В 2,5КВт 10з=40) ГАЗель Cummins 2.8 (O+)</t>
  </si>
  <si>
    <t>4929642/5337966</t>
  </si>
  <si>
    <t>Термостат Валдай, КАМАЗ, ПАЗ Cummins ISF 3.8, ISBe, ISDe (5292708, 3973834, 5256423) (O+)</t>
  </si>
  <si>
    <t>5257076/5337967</t>
  </si>
  <si>
    <t>Термостат Газель Cummins 2.8 (O+)</t>
  </si>
  <si>
    <t>Траверса клапанов (крейцкопф) ГАЗель Cummins 2.8 (O+)</t>
  </si>
  <si>
    <t>5297747/5340176</t>
  </si>
  <si>
    <t>Трубка отводящая для слива масла ТРК  ГАЗ 3302 дв.Cummins ISF 2.8 (O+)</t>
  </si>
  <si>
    <t>Трубка отводящая для слива масла ТРК  ГАЗель дв.Cummins ISF 2.8 ЕВРО-5 (O+)</t>
  </si>
  <si>
    <t>Трубка подводящая перекачки масла ГАЗель Cummins 2.8 (O+)</t>
  </si>
  <si>
    <t>5301534/5271464</t>
  </si>
  <si>
    <t>Трубка топливная обратки ГАЗель Cummins 2.8 (O+)</t>
  </si>
  <si>
    <t>5301534/4992138</t>
  </si>
  <si>
    <t>Трубка топливная обратки ГАЗель Cummins 2.8 5271464* (C+)</t>
  </si>
  <si>
    <t>Трубка топливная отТНВД к рампе в сб. ГАЗель Cummins 2.8 (O+)</t>
  </si>
  <si>
    <t>PSH0009100</t>
  </si>
  <si>
    <t>Турбокомпрессор FOTON 2.5 (G21) Е2</t>
  </si>
  <si>
    <t>PSH0008865</t>
  </si>
  <si>
    <t>Турбокомпрессор FOTON 2.5 (G21) Е3</t>
  </si>
  <si>
    <t>4309105/3796175/3794989</t>
  </si>
  <si>
    <t>Турбокомпрессор ISF 3.8 Евро 3 (Валдай) (O+)</t>
  </si>
  <si>
    <t>2834188/3796169/3773122</t>
  </si>
  <si>
    <t>Турбокомпрессор ГАЗель Cummins 2.8 (O+)</t>
  </si>
  <si>
    <t>Турбокомпрессор ГАЗель Cummins 2.8 ЕВРО-3, 4 (O+)</t>
  </si>
  <si>
    <t>3776286/5350920</t>
  </si>
  <si>
    <t>Турбокомпрессор ГАЗель Cummins 2.8 ЕВРО-4 (O+)</t>
  </si>
  <si>
    <t>Турбокомпрессор ГАЗель Cummins 2.8 ЕВРО-5 (O+) уп. Foton</t>
  </si>
  <si>
    <t>PM40004240/PSH0008997</t>
  </si>
  <si>
    <t>Фильтр масляный FOTON 2.5</t>
  </si>
  <si>
    <t>LF16352</t>
  </si>
  <si>
    <t>Фильтр масляный Валдай дв.Cummins 3.8 Fleetquard</t>
  </si>
  <si>
    <t>LF17356</t>
  </si>
  <si>
    <t>Фильтр масляный ГАЗель дв.Cummins 2.8 Fleetquard</t>
  </si>
  <si>
    <t>L111000000692</t>
  </si>
  <si>
    <t>Фильтр топливный FOTON 2.5 элемент (GAZ G21) PSH0009180</t>
  </si>
  <si>
    <t>FF5706</t>
  </si>
  <si>
    <t>Фильтр топливный Валдай дв.Cummins 3.8 тонкой очистки</t>
  </si>
  <si>
    <t>FS19925</t>
  </si>
  <si>
    <t>Фильтр топливный ГАЗель дв.Cummins 2.8 Fleetquard</t>
  </si>
  <si>
    <t>Форсунка Валдай Cummins 3.8 (0445120134) (O+)</t>
  </si>
  <si>
    <t>Форсунка Валдай Cummins 3.8 ЕВРО-4 (Denso) (O+)</t>
  </si>
  <si>
    <t>Форсунка Газель Cummins 2.8 ЕВРО 4 н/о (O+)</t>
  </si>
  <si>
    <t>5347134/5589195</t>
  </si>
  <si>
    <t>Форсунка Газель Cummins 2.8 ЕВРО 5 (O+)</t>
  </si>
  <si>
    <t>Форсунка охл. поршня Газель Cummins 2.8 (мин. партия 4 шт) (O+)</t>
  </si>
  <si>
    <t>Хомут приемной трубы КАМАЗ,ПАЗ дв.CUMMINS ISBe (O+)</t>
  </si>
  <si>
    <t>Цепь Газель Cummins 2.8 (O+)</t>
  </si>
  <si>
    <t>5263946/5340588</t>
  </si>
  <si>
    <t>Шатун Газель Cummins 2.8 (O+)</t>
  </si>
  <si>
    <t>4943979/5257364</t>
  </si>
  <si>
    <t>Шатун КАМАЗ,ПАЗ,Валдай дв.CUMMINS ISBe,ISDe,ISF3.8 (O+)</t>
  </si>
  <si>
    <t>5282176/5305218</t>
  </si>
  <si>
    <t>Шкив коленвала с демпфером (гаситель крутильных колебаний) Газель Cummins 2.8 (O+)</t>
  </si>
  <si>
    <t>Элемент масляного охладителя Валдай Cummins 3.8 (O+)</t>
  </si>
  <si>
    <t>Элемент масляного охладителя Газель Cummins 2.8 (ЕВРО-4) 5266955 (O+)</t>
  </si>
  <si>
    <t>品牌</t>
  </si>
  <si>
    <r>
      <rPr>
        <sz val="10"/>
        <rFont val="宋体"/>
        <charset val="134"/>
      </rPr>
      <t>供货号</t>
    </r>
  </si>
  <si>
    <t>单位</t>
  </si>
  <si>
    <r>
      <rPr>
        <sz val="10"/>
        <rFont val="宋体"/>
        <charset val="134"/>
      </rPr>
      <t>中文品名</t>
    </r>
  </si>
  <si>
    <t>福田牌价总金额</t>
  </si>
  <si>
    <r>
      <rPr>
        <sz val="10"/>
        <rFont val="宋体"/>
        <charset val="134"/>
      </rPr>
      <t>福田牌价</t>
    </r>
  </si>
  <si>
    <t>折扣</t>
  </si>
  <si>
    <t>折扣系数</t>
  </si>
  <si>
    <t>福田折后价</t>
  </si>
  <si>
    <t>福田折后总价</t>
  </si>
  <si>
    <t>备注</t>
  </si>
  <si>
    <r>
      <rPr>
        <sz val="10"/>
        <rFont val="宋体"/>
        <charset val="134"/>
      </rPr>
      <t>业务员</t>
    </r>
  </si>
  <si>
    <r>
      <rPr>
        <sz val="10"/>
        <rFont val="宋体"/>
        <charset val="134"/>
      </rPr>
      <t>报价员</t>
    </r>
  </si>
  <si>
    <t>中缸总成</t>
  </si>
  <si>
    <t>SASH0000743E9300</t>
  </si>
  <si>
    <t>PC</t>
  </si>
  <si>
    <r>
      <rPr>
        <sz val="10"/>
        <rFont val="Arial"/>
        <charset val="0"/>
      </rPr>
      <t>2.5</t>
    </r>
    <r>
      <rPr>
        <sz val="10"/>
        <rFont val="宋体"/>
        <charset val="134"/>
      </rPr>
      <t>欧马可</t>
    </r>
    <r>
      <rPr>
        <sz val="10"/>
        <rFont val="Arial"/>
        <charset val="0"/>
      </rPr>
      <t>4.5T-1880</t>
    </r>
    <r>
      <rPr>
        <sz val="10"/>
        <rFont val="宋体"/>
        <charset val="134"/>
      </rPr>
      <t>液刹中缸总成</t>
    </r>
  </si>
  <si>
    <t>Enter-148</t>
  </si>
  <si>
    <t>卡友配</t>
  </si>
  <si>
    <r>
      <rPr>
        <sz val="10"/>
        <rFont val="Arial"/>
        <charset val="0"/>
      </rPr>
      <t>ISF2.8</t>
    </r>
    <r>
      <rPr>
        <sz val="10"/>
        <rFont val="宋体"/>
        <charset val="134"/>
      </rPr>
      <t>短缸体合件</t>
    </r>
    <r>
      <rPr>
        <sz val="10"/>
        <rFont val="Arial"/>
        <charset val="0"/>
      </rPr>
      <t>-</t>
    </r>
    <r>
      <rPr>
        <sz val="10"/>
        <rFont val="宋体"/>
        <charset val="134"/>
      </rPr>
      <t>卡友配</t>
    </r>
  </si>
  <si>
    <r>
      <rPr>
        <sz val="10"/>
        <rFont val="Arial"/>
        <charset val="0"/>
      </rPr>
      <t>6272</t>
    </r>
    <r>
      <rPr>
        <sz val="10"/>
        <rFont val="宋体"/>
        <charset val="0"/>
      </rPr>
      <t>，含税进价给客户</t>
    </r>
  </si>
  <si>
    <t>长缸体总成</t>
  </si>
  <si>
    <t>SAM40000788E9300</t>
  </si>
  <si>
    <r>
      <rPr>
        <sz val="10"/>
        <rFont val="Arial"/>
        <charset val="0"/>
      </rPr>
      <t>2.5</t>
    </r>
    <r>
      <rPr>
        <sz val="10"/>
        <rFont val="宋体"/>
        <charset val="134"/>
      </rPr>
      <t>匹配欧二液刹非空调长缸体总成</t>
    </r>
  </si>
  <si>
    <t>J100C2.800001AJTBE5321</t>
  </si>
  <si>
    <r>
      <rPr>
        <sz val="10"/>
        <rFont val="Arial"/>
        <charset val="0"/>
      </rPr>
      <t>ISF2.8</t>
    </r>
    <r>
      <rPr>
        <sz val="10"/>
        <rFont val="宋体"/>
        <charset val="0"/>
      </rPr>
      <t>长缸体合件简体版</t>
    </r>
    <r>
      <rPr>
        <sz val="10"/>
        <rFont val="Arial"/>
        <charset val="0"/>
      </rPr>
      <t>-</t>
    </r>
    <r>
      <rPr>
        <sz val="10"/>
        <rFont val="宋体"/>
        <charset val="0"/>
      </rPr>
      <t>卡友配</t>
    </r>
    <r>
      <rPr>
        <sz val="10"/>
        <rFont val="Arial"/>
        <charset val="0"/>
      </rPr>
      <t xml:space="preserve"> Е-3/4 </t>
    </r>
  </si>
  <si>
    <r>
      <rPr>
        <sz val="10"/>
        <rFont val="Arial"/>
        <charset val="0"/>
      </rPr>
      <t>10455</t>
    </r>
    <r>
      <rPr>
        <sz val="10"/>
        <rFont val="宋体"/>
        <charset val="0"/>
      </rPr>
      <t>，含税进价给客户</t>
    </r>
  </si>
  <si>
    <r>
      <rPr>
        <sz val="10"/>
        <rFont val="Arial"/>
        <charset val="0"/>
      </rPr>
      <t>ISF2.8</t>
    </r>
    <r>
      <rPr>
        <sz val="10"/>
        <rFont val="宋体"/>
        <charset val="0"/>
      </rPr>
      <t>长缸体合件简体版</t>
    </r>
    <r>
      <rPr>
        <sz val="10"/>
        <rFont val="Arial"/>
        <charset val="0"/>
      </rPr>
      <t>-</t>
    </r>
    <r>
      <rPr>
        <sz val="10"/>
        <rFont val="宋体"/>
        <charset val="0"/>
      </rPr>
      <t>卡友配</t>
    </r>
    <r>
      <rPr>
        <sz val="10"/>
        <rFont val="Arial"/>
        <charset val="0"/>
      </rPr>
      <t xml:space="preserve"> Е-5</t>
    </r>
  </si>
  <si>
    <r>
      <rPr>
        <sz val="10"/>
        <rFont val="宋体"/>
        <charset val="134"/>
      </rPr>
      <t>（</t>
    </r>
    <r>
      <rPr>
        <sz val="10"/>
        <rFont val="Arial"/>
        <charset val="0"/>
      </rPr>
      <t>A2080</t>
    </r>
    <r>
      <rPr>
        <sz val="10"/>
        <rFont val="宋体"/>
        <charset val="134"/>
      </rPr>
      <t>）</t>
    </r>
    <r>
      <rPr>
        <sz val="10"/>
        <rFont val="Arial"/>
        <charset val="0"/>
      </rPr>
      <t>ISF</t>
    </r>
    <r>
      <rPr>
        <sz val="10"/>
        <rFont val="宋体"/>
        <charset val="134"/>
      </rPr>
      <t>系列散件全品种</t>
    </r>
  </si>
  <si>
    <r>
      <rPr>
        <sz val="10"/>
        <rFont val="宋体"/>
        <charset val="134"/>
      </rPr>
      <t>福田缸体</t>
    </r>
  </si>
  <si>
    <r>
      <rPr>
        <sz val="10"/>
        <rFont val="宋体"/>
        <charset val="134"/>
      </rPr>
      <t>缸体</t>
    </r>
  </si>
  <si>
    <t>SET</t>
  </si>
  <si>
    <r>
      <rPr>
        <sz val="10"/>
        <rFont val="宋体"/>
        <charset val="134"/>
      </rPr>
      <t>福田康明斯</t>
    </r>
    <r>
      <rPr>
        <sz val="10"/>
        <rFont val="Arial"/>
        <charset val="0"/>
      </rPr>
      <t>ISF2.8</t>
    </r>
    <r>
      <rPr>
        <sz val="10"/>
        <rFont val="宋体"/>
        <charset val="134"/>
      </rPr>
      <t>六角法兰面螺栓</t>
    </r>
  </si>
  <si>
    <r>
      <rPr>
        <sz val="10"/>
        <rFont val="宋体"/>
        <charset val="134"/>
      </rPr>
      <t>福田康明斯</t>
    </r>
    <r>
      <rPr>
        <sz val="10"/>
        <rFont val="Arial"/>
        <charset val="0"/>
      </rPr>
      <t>2.8</t>
    </r>
    <r>
      <rPr>
        <sz val="10"/>
        <rFont val="宋体"/>
        <charset val="134"/>
      </rPr>
      <t>、</t>
    </r>
    <r>
      <rPr>
        <sz val="10"/>
        <rFont val="Arial"/>
        <charset val="0"/>
      </rPr>
      <t>ISG</t>
    </r>
    <r>
      <rPr>
        <sz val="10"/>
        <rFont val="宋体"/>
        <charset val="134"/>
      </rPr>
      <t>六角法兰面螺栓</t>
    </r>
  </si>
  <si>
    <t>无</t>
  </si>
  <si>
    <r>
      <rPr>
        <sz val="10"/>
        <rFont val="宋体"/>
        <charset val="134"/>
      </rPr>
      <t>福田康明斯</t>
    </r>
    <r>
      <rPr>
        <sz val="10"/>
        <rFont val="Arial"/>
        <charset val="0"/>
      </rPr>
      <t>2.8</t>
    </r>
    <r>
      <rPr>
        <sz val="10"/>
        <rFont val="宋体"/>
        <charset val="134"/>
      </rPr>
      <t>十二角头螺栓</t>
    </r>
  </si>
  <si>
    <r>
      <rPr>
        <sz val="10"/>
        <color indexed="8"/>
        <rFont val="宋体"/>
        <charset val="134"/>
      </rPr>
      <t>六角法兰面螺栓</t>
    </r>
  </si>
  <si>
    <r>
      <rPr>
        <sz val="10"/>
        <color indexed="8"/>
        <rFont val="宋体"/>
        <charset val="134"/>
      </rPr>
      <t>曲轴</t>
    </r>
  </si>
  <si>
    <r>
      <rPr>
        <sz val="10"/>
        <rFont val="宋体"/>
        <charset val="134"/>
      </rPr>
      <t>福田康明斯惰轮轴</t>
    </r>
  </si>
  <si>
    <r>
      <rPr>
        <sz val="10"/>
        <rFont val="宋体"/>
        <charset val="0"/>
      </rPr>
      <t>福田康明斯</t>
    </r>
    <r>
      <rPr>
        <sz val="10"/>
        <rFont val="Arial"/>
        <charset val="0"/>
      </rPr>
      <t>ISF2.8</t>
    </r>
    <r>
      <rPr>
        <sz val="10"/>
        <rFont val="宋体"/>
        <charset val="0"/>
      </rPr>
      <t>凸轮轴</t>
    </r>
  </si>
  <si>
    <r>
      <rPr>
        <sz val="10"/>
        <color indexed="8"/>
        <rFont val="宋体"/>
        <charset val="134"/>
      </rPr>
      <t>主轴瓦</t>
    </r>
  </si>
  <si>
    <r>
      <rPr>
        <sz val="10"/>
        <color indexed="8"/>
        <rFont val="宋体"/>
        <charset val="134"/>
      </rPr>
      <t>曲轴止推瓦</t>
    </r>
  </si>
  <si>
    <r>
      <rPr>
        <sz val="10"/>
        <color indexed="8"/>
        <rFont val="宋体"/>
        <charset val="134"/>
      </rPr>
      <t>连杆轴瓦</t>
    </r>
  </si>
  <si>
    <r>
      <rPr>
        <sz val="10"/>
        <color indexed="8"/>
        <rFont val="宋体"/>
        <charset val="134"/>
      </rPr>
      <t>衬套</t>
    </r>
  </si>
  <si>
    <r>
      <rPr>
        <sz val="10"/>
        <color indexed="8"/>
        <rFont val="宋体"/>
        <charset val="134"/>
      </rPr>
      <t>发电机</t>
    </r>
  </si>
  <si>
    <t>E9300</t>
  </si>
  <si>
    <t>SPSH0008994E9300</t>
  </si>
  <si>
    <r>
      <rPr>
        <sz val="10"/>
        <rFont val="宋体"/>
        <charset val="134"/>
      </rPr>
      <t>发电机</t>
    </r>
  </si>
  <si>
    <r>
      <rPr>
        <sz val="10"/>
        <color indexed="8"/>
        <rFont val="宋体"/>
        <charset val="134"/>
      </rPr>
      <t>缸盖总成</t>
    </r>
  </si>
  <si>
    <r>
      <rPr>
        <sz val="10"/>
        <color indexed="8"/>
        <rFont val="宋体"/>
        <charset val="134"/>
      </rPr>
      <t>缸盖</t>
    </r>
  </si>
  <si>
    <r>
      <rPr>
        <sz val="10"/>
        <color indexed="8"/>
        <rFont val="宋体"/>
        <charset val="134"/>
      </rPr>
      <t>压力温度传感器</t>
    </r>
  </si>
  <si>
    <r>
      <rPr>
        <sz val="10"/>
        <color indexed="8"/>
        <rFont val="宋体"/>
        <charset val="134"/>
      </rPr>
      <t>位置传感器</t>
    </r>
  </si>
  <si>
    <r>
      <rPr>
        <sz val="10"/>
        <color indexed="8"/>
        <rFont val="宋体"/>
        <charset val="134"/>
      </rPr>
      <t>电控模块线束</t>
    </r>
  </si>
  <si>
    <r>
      <rPr>
        <sz val="10"/>
        <color indexed="8"/>
        <rFont val="宋体"/>
        <charset val="134"/>
      </rPr>
      <t>碗形塞</t>
    </r>
  </si>
  <si>
    <r>
      <rPr>
        <sz val="10"/>
        <color indexed="8"/>
        <rFont val="宋体"/>
        <charset val="134"/>
      </rPr>
      <t>油底壳</t>
    </r>
  </si>
  <si>
    <r>
      <rPr>
        <sz val="10"/>
        <color indexed="8"/>
        <rFont val="宋体"/>
        <charset val="134"/>
      </rPr>
      <t>进气门</t>
    </r>
  </si>
  <si>
    <t>SPSH0008874E9300</t>
  </si>
  <si>
    <r>
      <rPr>
        <sz val="10"/>
        <rFont val="宋体"/>
        <charset val="134"/>
      </rPr>
      <t>排气歧管</t>
    </r>
  </si>
  <si>
    <r>
      <rPr>
        <sz val="10"/>
        <color indexed="8"/>
        <rFont val="宋体"/>
        <charset val="134"/>
      </rPr>
      <t>排气歧管</t>
    </r>
  </si>
  <si>
    <t>SPV10001499E9300</t>
  </si>
  <si>
    <r>
      <rPr>
        <sz val="10"/>
        <rFont val="宋体"/>
        <charset val="134"/>
      </rPr>
      <t>气门油封</t>
    </r>
  </si>
  <si>
    <r>
      <rPr>
        <sz val="10"/>
        <color indexed="8"/>
        <rFont val="宋体"/>
        <charset val="134"/>
      </rPr>
      <t>气门杆油封</t>
    </r>
  </si>
  <si>
    <r>
      <rPr>
        <sz val="10"/>
        <color indexed="8"/>
        <rFont val="宋体"/>
        <charset val="134"/>
      </rPr>
      <t>喷油器密封垫</t>
    </r>
  </si>
  <si>
    <r>
      <rPr>
        <sz val="10"/>
        <color indexed="8"/>
        <rFont val="宋体"/>
        <charset val="134"/>
      </rPr>
      <t>密封垫圈</t>
    </r>
  </si>
  <si>
    <r>
      <rPr>
        <sz val="10"/>
        <color indexed="8"/>
        <rFont val="宋体"/>
        <charset val="134"/>
      </rPr>
      <t>挡圈</t>
    </r>
  </si>
  <si>
    <r>
      <rPr>
        <sz val="10"/>
        <color rgb="FF000000"/>
        <rFont val="Arial"/>
        <charset val="0"/>
      </rPr>
      <t>O</t>
    </r>
    <r>
      <rPr>
        <sz val="10"/>
        <color indexed="8"/>
        <rFont val="宋体"/>
        <charset val="134"/>
      </rPr>
      <t>型密封圈</t>
    </r>
  </si>
  <si>
    <r>
      <rPr>
        <sz val="10"/>
        <color rgb="FF000000"/>
        <rFont val="Arial"/>
        <charset val="0"/>
      </rPr>
      <t>D</t>
    </r>
    <r>
      <rPr>
        <sz val="10"/>
        <color indexed="8"/>
        <rFont val="宋体"/>
        <charset val="134"/>
      </rPr>
      <t>型密封圈</t>
    </r>
  </si>
  <si>
    <t>SDXB-2.5-BE3544</t>
  </si>
  <si>
    <r>
      <rPr>
        <sz val="10"/>
        <rFont val="宋体"/>
        <charset val="134"/>
      </rPr>
      <t>欧康</t>
    </r>
    <r>
      <rPr>
        <sz val="10"/>
        <rFont val="Arial"/>
        <charset val="0"/>
      </rPr>
      <t>2.5</t>
    </r>
    <r>
      <rPr>
        <sz val="10"/>
        <rFont val="宋体"/>
        <charset val="134"/>
      </rPr>
      <t>大修包</t>
    </r>
    <r>
      <rPr>
        <sz val="10"/>
        <rFont val="Arial"/>
        <charset val="0"/>
      </rPr>
      <t>(</t>
    </r>
    <r>
      <rPr>
        <sz val="10"/>
        <rFont val="宋体"/>
        <charset val="134"/>
      </rPr>
      <t>缸垫边缘双孔</t>
    </r>
    <r>
      <rPr>
        <sz val="10"/>
        <rFont val="Arial"/>
        <charset val="0"/>
      </rPr>
      <t>,</t>
    </r>
    <r>
      <rPr>
        <sz val="10"/>
        <rFont val="宋体"/>
        <charset val="134"/>
      </rPr>
      <t>包含</t>
    </r>
    <r>
      <rPr>
        <sz val="10"/>
        <rFont val="Arial"/>
        <charset val="0"/>
      </rPr>
      <t>25</t>
    </r>
    <r>
      <rPr>
        <sz val="10"/>
        <rFont val="宋体"/>
        <charset val="134"/>
      </rPr>
      <t>种配件</t>
    </r>
    <r>
      <rPr>
        <sz val="10"/>
        <rFont val="Arial"/>
        <charset val="0"/>
      </rPr>
      <t>)</t>
    </r>
  </si>
  <si>
    <t>Enter-110</t>
  </si>
  <si>
    <t>副厂</t>
  </si>
  <si>
    <t>5257188/52571871</t>
  </si>
  <si>
    <r>
      <rPr>
        <sz val="10"/>
        <rFont val="Arial"/>
        <charset val="0"/>
      </rPr>
      <t>ISF2.8</t>
    </r>
    <r>
      <rPr>
        <sz val="10"/>
        <rFont val="宋体"/>
        <charset val="0"/>
      </rPr>
      <t>修理包</t>
    </r>
  </si>
  <si>
    <t>/</t>
  </si>
  <si>
    <t>B+140</t>
  </si>
  <si>
    <t>SDXB-2.5-AE3544</t>
  </si>
  <si>
    <t>WDXB-2.8-LZHN6846</t>
  </si>
  <si>
    <r>
      <rPr>
        <sz val="10"/>
        <rFont val="宋体"/>
        <charset val="134"/>
      </rPr>
      <t>福田</t>
    </r>
    <r>
      <rPr>
        <sz val="10"/>
        <rFont val="Arial"/>
        <charset val="0"/>
      </rPr>
      <t>ISF2.8</t>
    </r>
    <r>
      <rPr>
        <sz val="10"/>
        <rFont val="宋体"/>
        <charset val="134"/>
      </rPr>
      <t>修理包</t>
    </r>
  </si>
  <si>
    <t>WDXB-3.8ZHN6846</t>
  </si>
  <si>
    <r>
      <rPr>
        <sz val="10"/>
        <rFont val="宋体"/>
        <charset val="134"/>
      </rPr>
      <t>福田</t>
    </r>
    <r>
      <rPr>
        <sz val="10"/>
        <rFont val="Arial"/>
        <charset val="0"/>
      </rPr>
      <t>ISF3.8</t>
    </r>
    <r>
      <rPr>
        <sz val="10"/>
        <rFont val="宋体"/>
        <charset val="134"/>
      </rPr>
      <t>修理包</t>
    </r>
  </si>
  <si>
    <t>福田原厂空气压缩机</t>
  </si>
  <si>
    <r>
      <rPr>
        <sz val="10"/>
        <rFont val="宋体"/>
        <charset val="134"/>
      </rPr>
      <t>卡友配满</t>
    </r>
    <r>
      <rPr>
        <sz val="10"/>
        <rFont val="Arial"/>
        <charset val="0"/>
      </rPr>
      <t>3</t>
    </r>
    <r>
      <rPr>
        <sz val="10"/>
        <rFont val="宋体"/>
        <charset val="134"/>
      </rPr>
      <t>万起订</t>
    </r>
  </si>
  <si>
    <t>SPM40004179E9300</t>
  </si>
  <si>
    <r>
      <rPr>
        <sz val="10"/>
        <rFont val="宋体"/>
        <charset val="134"/>
      </rPr>
      <t>滚子摇臂</t>
    </r>
  </si>
  <si>
    <r>
      <rPr>
        <sz val="10"/>
        <color indexed="8"/>
        <rFont val="宋体"/>
        <charset val="134"/>
      </rPr>
      <t>摇臂</t>
    </r>
  </si>
  <si>
    <r>
      <rPr>
        <sz val="10"/>
        <rFont val="宋体"/>
        <charset val="134"/>
      </rPr>
      <t>福田康明斯</t>
    </r>
    <r>
      <rPr>
        <sz val="10"/>
        <rFont val="Arial"/>
        <charset val="0"/>
      </rPr>
      <t>ISF2.8</t>
    </r>
    <r>
      <rPr>
        <sz val="10"/>
        <rFont val="宋体"/>
        <charset val="134"/>
      </rPr>
      <t>节温器壳体</t>
    </r>
  </si>
  <si>
    <r>
      <rPr>
        <sz val="10"/>
        <rFont val="宋体"/>
        <charset val="134"/>
      </rPr>
      <t>福田康明斯</t>
    </r>
    <r>
      <rPr>
        <sz val="10"/>
        <rFont val="Arial"/>
        <charset val="0"/>
      </rPr>
      <t>2.8</t>
    </r>
    <r>
      <rPr>
        <sz val="10"/>
        <rFont val="宋体"/>
        <charset val="134"/>
      </rPr>
      <t>节温器壳体</t>
    </r>
  </si>
  <si>
    <r>
      <rPr>
        <sz val="10"/>
        <color indexed="8"/>
        <rFont val="宋体"/>
        <charset val="134"/>
      </rPr>
      <t>机油泵</t>
    </r>
  </si>
  <si>
    <t>FP1100130100A0F1692</t>
  </si>
  <si>
    <r>
      <rPr>
        <sz val="10"/>
        <rFont val="宋体"/>
        <charset val="134"/>
      </rPr>
      <t>发动机护罩</t>
    </r>
  </si>
  <si>
    <r>
      <rPr>
        <sz val="10"/>
        <color indexed="8"/>
        <rFont val="宋体"/>
        <charset val="134"/>
      </rPr>
      <t>气门室罩盖（国五）</t>
    </r>
  </si>
  <si>
    <r>
      <rPr>
        <sz val="10"/>
        <color indexed="8"/>
        <rFont val="宋体"/>
        <charset val="134"/>
      </rPr>
      <t>气门室罩盖</t>
    </r>
  </si>
  <si>
    <r>
      <rPr>
        <sz val="10"/>
        <color indexed="8"/>
        <rFont val="宋体"/>
        <charset val="134"/>
      </rPr>
      <t>出水连接件</t>
    </r>
  </si>
  <si>
    <r>
      <rPr>
        <sz val="10"/>
        <color indexed="8"/>
        <rFont val="宋体"/>
        <charset val="134"/>
      </rPr>
      <t>链传动罩盖</t>
    </r>
  </si>
  <si>
    <t>SPS10009089E9300</t>
  </si>
  <si>
    <r>
      <rPr>
        <sz val="10"/>
        <rFont val="宋体"/>
        <charset val="134"/>
      </rPr>
      <t>机滤模块</t>
    </r>
  </si>
  <si>
    <t>SPV10005730E3544</t>
  </si>
  <si>
    <r>
      <rPr>
        <sz val="10"/>
        <rFont val="宋体"/>
        <charset val="134"/>
      </rPr>
      <t>飞轮总成</t>
    </r>
  </si>
  <si>
    <r>
      <rPr>
        <sz val="10"/>
        <color indexed="8"/>
        <rFont val="宋体"/>
        <charset val="134"/>
      </rPr>
      <t>飞轮</t>
    </r>
  </si>
  <si>
    <t>SPSH0009091E9300</t>
  </si>
  <si>
    <r>
      <rPr>
        <sz val="10"/>
        <rFont val="宋体"/>
        <charset val="134"/>
      </rPr>
      <t>张紧器</t>
    </r>
  </si>
  <si>
    <r>
      <rPr>
        <sz val="10"/>
        <color indexed="8"/>
        <rFont val="宋体"/>
        <charset val="134"/>
      </rPr>
      <t>皮带涨紧轮</t>
    </r>
  </si>
  <si>
    <r>
      <rPr>
        <sz val="10"/>
        <color indexed="8"/>
        <rFont val="宋体"/>
        <charset val="134"/>
      </rPr>
      <t>机油冷却器（国三）</t>
    </r>
  </si>
  <si>
    <r>
      <rPr>
        <sz val="10"/>
        <color indexed="8"/>
        <rFont val="宋体"/>
        <charset val="134"/>
      </rPr>
      <t>机油冷却器模块（国四康瑞</t>
    </r>
    <r>
      <rPr>
        <sz val="10"/>
        <color rgb="FF000000"/>
        <rFont val="Arial"/>
        <charset val="0"/>
      </rPr>
      <t>H3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</si>
  <si>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机油冷却器（国四）</t>
    </r>
  </si>
  <si>
    <r>
      <rPr>
        <sz val="10"/>
        <color indexed="8"/>
        <rFont val="宋体"/>
        <charset val="134"/>
      </rPr>
      <t>定位环</t>
    </r>
  </si>
  <si>
    <r>
      <rPr>
        <sz val="10"/>
        <color indexed="8"/>
        <rFont val="宋体"/>
        <charset val="134"/>
      </rPr>
      <t>真空泵</t>
    </r>
  </si>
  <si>
    <r>
      <rPr>
        <sz val="10"/>
        <color indexed="8"/>
        <rFont val="宋体"/>
        <charset val="134"/>
      </rPr>
      <t>水泵</t>
    </r>
  </si>
  <si>
    <t>SPM40004188E9300</t>
  </si>
  <si>
    <r>
      <rPr>
        <sz val="10"/>
        <rFont val="宋体"/>
        <charset val="134"/>
      </rPr>
      <t>水泵合件</t>
    </r>
  </si>
  <si>
    <t>SPSH0008977E9300</t>
  </si>
  <si>
    <r>
      <rPr>
        <sz val="10"/>
        <rFont val="宋体"/>
        <charset val="134"/>
      </rPr>
      <t>助力转向泵组件总成</t>
    </r>
  </si>
  <si>
    <r>
      <rPr>
        <sz val="10"/>
        <color indexed="8"/>
        <rFont val="宋体"/>
        <charset val="134"/>
      </rPr>
      <t>动力转向泵</t>
    </r>
  </si>
  <si>
    <t>燃油泵</t>
  </si>
  <si>
    <r>
      <rPr>
        <sz val="10"/>
        <color indexed="8"/>
        <rFont val="宋体"/>
        <charset val="134"/>
      </rPr>
      <t>燃油泵</t>
    </r>
  </si>
  <si>
    <r>
      <rPr>
        <sz val="9"/>
        <rFont val="Arial"/>
        <charset val="0"/>
      </rPr>
      <t>2700</t>
    </r>
    <r>
      <rPr>
        <sz val="9"/>
        <rFont val="宋体"/>
        <charset val="0"/>
      </rPr>
      <t>库存一口价，博世全新，中性包装</t>
    </r>
  </si>
  <si>
    <t>2067库存价一口价</t>
  </si>
  <si>
    <t>SPM40004042E3544</t>
  </si>
  <si>
    <r>
      <rPr>
        <sz val="10"/>
        <rFont val="宋体"/>
        <charset val="134"/>
      </rPr>
      <t>正时皮带张紧器</t>
    </r>
  </si>
  <si>
    <r>
      <rPr>
        <sz val="10"/>
        <color indexed="8"/>
        <rFont val="宋体"/>
        <charset val="134"/>
      </rPr>
      <t>链条涨紧器</t>
    </r>
  </si>
  <si>
    <r>
      <rPr>
        <sz val="10"/>
        <color indexed="8"/>
        <rFont val="宋体"/>
        <charset val="134"/>
      </rPr>
      <t>风扇支架</t>
    </r>
  </si>
  <si>
    <r>
      <rPr>
        <sz val="10"/>
        <color indexed="8"/>
        <rFont val="宋体"/>
        <charset val="134"/>
      </rPr>
      <t>活塞销</t>
    </r>
  </si>
  <si>
    <r>
      <rPr>
        <sz val="10"/>
        <color indexed="8"/>
        <rFont val="宋体"/>
        <charset val="134"/>
      </rPr>
      <t>旁通水管</t>
    </r>
  </si>
  <si>
    <r>
      <rPr>
        <sz val="10"/>
        <color indexed="8"/>
        <rFont val="宋体"/>
        <charset val="134"/>
      </rPr>
      <t>进气预热器</t>
    </r>
  </si>
  <si>
    <r>
      <rPr>
        <sz val="10"/>
        <color indexed="8"/>
        <rFont val="宋体"/>
        <charset val="134"/>
      </rPr>
      <t>滚珠轴承</t>
    </r>
  </si>
  <si>
    <r>
      <rPr>
        <sz val="10"/>
        <color indexed="8"/>
        <rFont val="宋体"/>
        <charset val="134"/>
      </rPr>
      <t>活塞及环组件</t>
    </r>
  </si>
  <si>
    <r>
      <rPr>
        <sz val="10"/>
        <color indexed="8"/>
        <rFont val="宋体"/>
        <charset val="134"/>
      </rPr>
      <t>活塞及环组件</t>
    </r>
    <r>
      <rPr>
        <sz val="10"/>
        <color rgb="FF000000"/>
        <rFont val="Arial"/>
        <charset val="0"/>
      </rPr>
      <t>(</t>
    </r>
    <r>
      <rPr>
        <sz val="10"/>
        <color indexed="8"/>
        <rFont val="宋体"/>
        <charset val="134"/>
      </rPr>
      <t>含单活塞</t>
    </r>
    <r>
      <rPr>
        <sz val="10"/>
        <color rgb="FF000000"/>
        <rFont val="Arial"/>
        <charset val="0"/>
      </rPr>
      <t>5264621)</t>
    </r>
    <r>
      <rPr>
        <sz val="10"/>
        <color indexed="8"/>
        <rFont val="宋体"/>
        <charset val="134"/>
      </rPr>
      <t>国五</t>
    </r>
  </si>
  <si>
    <r>
      <rPr>
        <sz val="10"/>
        <color indexed="8"/>
        <rFont val="宋体"/>
        <charset val="134"/>
      </rPr>
      <t>活塞</t>
    </r>
  </si>
  <si>
    <r>
      <rPr>
        <sz val="10"/>
        <color indexed="8"/>
        <rFont val="宋体"/>
        <charset val="134"/>
      </rPr>
      <t>活塞国三</t>
    </r>
  </si>
  <si>
    <r>
      <rPr>
        <sz val="10"/>
        <color indexed="8"/>
        <rFont val="宋体"/>
        <charset val="134"/>
      </rPr>
      <t>真空泵密封垫</t>
    </r>
  </si>
  <si>
    <r>
      <rPr>
        <sz val="10"/>
        <color indexed="8"/>
        <rFont val="宋体"/>
        <charset val="134"/>
      </rPr>
      <t>进气歧管密封垫</t>
    </r>
  </si>
  <si>
    <r>
      <rPr>
        <sz val="10"/>
        <color indexed="8"/>
        <rFont val="宋体"/>
        <charset val="134"/>
      </rPr>
      <t>排气歧管密封垫</t>
    </r>
  </si>
  <si>
    <r>
      <rPr>
        <sz val="10"/>
        <color indexed="8"/>
        <rFont val="宋体"/>
        <charset val="134"/>
      </rPr>
      <t>缸盖密封垫</t>
    </r>
  </si>
  <si>
    <r>
      <rPr>
        <sz val="10"/>
        <color indexed="8"/>
        <rFont val="宋体"/>
        <charset val="134"/>
      </rPr>
      <t>缸盖密封垫（国五）</t>
    </r>
  </si>
  <si>
    <r>
      <rPr>
        <sz val="10"/>
        <color indexed="8"/>
        <rFont val="宋体"/>
        <charset val="134"/>
      </rPr>
      <t>气门室罩盖密封垫</t>
    </r>
  </si>
  <si>
    <r>
      <rPr>
        <sz val="10"/>
        <color indexed="8"/>
        <rFont val="宋体"/>
        <charset val="134"/>
      </rPr>
      <t>摇臂室罩盖密封垫</t>
    </r>
  </si>
  <si>
    <r>
      <rPr>
        <sz val="10"/>
        <color indexed="8"/>
        <rFont val="宋体"/>
        <charset val="134"/>
      </rPr>
      <t>异型密封圈</t>
    </r>
  </si>
  <si>
    <r>
      <rPr>
        <sz val="10"/>
        <color indexed="8"/>
        <rFont val="宋体"/>
        <charset val="134"/>
      </rPr>
      <t>齿轮室密封垫</t>
    </r>
  </si>
  <si>
    <r>
      <rPr>
        <sz val="10"/>
        <color indexed="8"/>
        <rFont val="宋体"/>
        <charset val="134"/>
      </rPr>
      <t>链传动罩盖密封件</t>
    </r>
  </si>
  <si>
    <r>
      <rPr>
        <sz val="10"/>
        <color indexed="8"/>
        <rFont val="宋体"/>
        <charset val="134"/>
      </rPr>
      <t>油底壳密封垫</t>
    </r>
  </si>
  <si>
    <r>
      <rPr>
        <sz val="10"/>
        <color indexed="8"/>
        <rFont val="宋体"/>
        <charset val="134"/>
      </rPr>
      <t>机油冷却器座密封垫</t>
    </r>
  </si>
  <si>
    <r>
      <rPr>
        <sz val="10"/>
        <color indexed="8"/>
        <rFont val="宋体"/>
        <charset val="134"/>
      </rPr>
      <t>回油管密封垫</t>
    </r>
  </si>
  <si>
    <r>
      <rPr>
        <sz val="10"/>
        <color indexed="8"/>
        <rFont val="宋体"/>
        <charset val="134"/>
      </rPr>
      <t>盖板密封垫</t>
    </r>
  </si>
  <si>
    <t>东亚牌价</t>
  </si>
  <si>
    <t>E5285501</t>
  </si>
  <si>
    <r>
      <rPr>
        <sz val="10"/>
        <rFont val="宋体"/>
        <charset val="134"/>
      </rPr>
      <t>后处理装置密封垫</t>
    </r>
  </si>
  <si>
    <t>东亚</t>
  </si>
  <si>
    <r>
      <rPr>
        <sz val="10"/>
        <rFont val="宋体"/>
        <charset val="134"/>
      </rPr>
      <t>福田康明斯</t>
    </r>
    <r>
      <rPr>
        <sz val="10"/>
        <rFont val="Arial"/>
        <charset val="0"/>
      </rPr>
      <t>ISF3.8</t>
    </r>
    <r>
      <rPr>
        <sz val="10"/>
        <rFont val="宋体"/>
        <charset val="134"/>
      </rPr>
      <t>排气连接件密封垫</t>
    </r>
  </si>
  <si>
    <r>
      <rPr>
        <sz val="10"/>
        <color indexed="8"/>
        <rFont val="宋体"/>
        <charset val="134"/>
      </rPr>
      <t>增压器密封垫</t>
    </r>
  </si>
  <si>
    <r>
      <rPr>
        <sz val="10"/>
        <color indexed="8"/>
        <rFont val="宋体"/>
        <charset val="134"/>
      </rPr>
      <t>燃油共轨管</t>
    </r>
  </si>
  <si>
    <t>559170630=5267974+5255270+5254871+5267973+5259767</t>
  </si>
  <si>
    <r>
      <rPr>
        <sz val="10"/>
        <rFont val="Arial"/>
        <charset val="0"/>
      </rPr>
      <t>2.8</t>
    </r>
    <r>
      <rPr>
        <sz val="10"/>
        <rFont val="宋体"/>
        <charset val="134"/>
      </rPr>
      <t>正时系统套装</t>
    </r>
  </si>
  <si>
    <t>A-  165</t>
  </si>
  <si>
    <r>
      <rPr>
        <sz val="10"/>
        <color rgb="FF000000"/>
        <rFont val="Arial"/>
        <charset val="0"/>
      </rPr>
      <t>V</t>
    </r>
    <r>
      <rPr>
        <sz val="10"/>
        <color indexed="8"/>
        <rFont val="宋体"/>
        <charset val="134"/>
      </rPr>
      <t>型多楔带</t>
    </r>
  </si>
  <si>
    <t>SPM40008228E9300</t>
  </si>
  <si>
    <r>
      <rPr>
        <sz val="10"/>
        <rFont val="宋体"/>
        <charset val="134"/>
      </rPr>
      <t>驱动皮带</t>
    </r>
  </si>
  <si>
    <t>SPM40004041E9300</t>
  </si>
  <si>
    <r>
      <rPr>
        <sz val="10"/>
        <rFont val="宋体"/>
        <charset val="134"/>
      </rPr>
      <t>正时皮带</t>
    </r>
  </si>
  <si>
    <t>SPM40008431E9300</t>
  </si>
  <si>
    <r>
      <rPr>
        <sz val="10"/>
        <rFont val="宋体"/>
        <charset val="134"/>
      </rPr>
      <t>惰轮螺栓合件</t>
    </r>
  </si>
  <si>
    <r>
      <rPr>
        <sz val="10"/>
        <color indexed="8"/>
        <rFont val="宋体"/>
        <charset val="134"/>
      </rPr>
      <t>惰轮</t>
    </r>
  </si>
  <si>
    <t>SPM40005155E9300</t>
  </si>
  <si>
    <r>
      <rPr>
        <sz val="10"/>
        <rFont val="宋体"/>
        <charset val="134"/>
      </rPr>
      <t>附件惰轮</t>
    </r>
    <r>
      <rPr>
        <sz val="10"/>
        <rFont val="Arial"/>
        <charset val="0"/>
      </rPr>
      <t>1</t>
    </r>
  </si>
  <si>
    <r>
      <rPr>
        <sz val="10"/>
        <color indexed="8"/>
        <rFont val="宋体"/>
        <charset val="134"/>
      </rPr>
      <t>水封</t>
    </r>
  </si>
  <si>
    <t>SPV10001782E9300</t>
  </si>
  <si>
    <r>
      <rPr>
        <sz val="10"/>
        <rFont val="宋体"/>
        <charset val="134"/>
      </rPr>
      <t>预热塞</t>
    </r>
  </si>
  <si>
    <t>福田滤清器A2076弗列加</t>
  </si>
  <si>
    <t>FP1110210001A0A2076</t>
  </si>
  <si>
    <t>福田柴油滤清器总成</t>
  </si>
  <si>
    <t>SPSH0008996E9300</t>
  </si>
  <si>
    <r>
      <rPr>
        <sz val="10"/>
        <rFont val="宋体"/>
        <charset val="134"/>
      </rPr>
      <t>起动机</t>
    </r>
  </si>
  <si>
    <r>
      <rPr>
        <sz val="10"/>
        <color indexed="8"/>
        <rFont val="宋体"/>
        <charset val="134"/>
      </rPr>
      <t>起动机</t>
    </r>
  </si>
  <si>
    <r>
      <rPr>
        <sz val="10"/>
        <color indexed="8"/>
        <rFont val="宋体"/>
        <charset val="134"/>
      </rPr>
      <t>节温器</t>
    </r>
  </si>
  <si>
    <r>
      <rPr>
        <sz val="10"/>
        <color indexed="8"/>
        <rFont val="宋体"/>
        <charset val="134"/>
      </rPr>
      <t>增压器回油管</t>
    </r>
  </si>
  <si>
    <r>
      <rPr>
        <sz val="10"/>
        <color indexed="8"/>
        <rFont val="宋体"/>
        <charset val="134"/>
      </rPr>
      <t>燃油回油管</t>
    </r>
  </si>
  <si>
    <t>B+ 75</t>
  </si>
  <si>
    <t>原厂停供</t>
  </si>
  <si>
    <t>SPSH0009100E9300</t>
  </si>
  <si>
    <r>
      <rPr>
        <sz val="10"/>
        <rFont val="宋体"/>
        <charset val="134"/>
      </rPr>
      <t>涡轮增压器合件</t>
    </r>
  </si>
  <si>
    <t>SPSH0008865E3544</t>
  </si>
  <si>
    <t>（A2080）ISF系列散件全品种</t>
  </si>
  <si>
    <r>
      <rPr>
        <sz val="10"/>
        <color indexed="8"/>
        <rFont val="宋体"/>
        <charset val="134"/>
      </rPr>
      <t>增压器</t>
    </r>
  </si>
  <si>
    <t>增压器</t>
  </si>
  <si>
    <t>SPM40004240E9300</t>
  </si>
  <si>
    <r>
      <rPr>
        <sz val="10"/>
        <rFont val="宋体"/>
        <charset val="134"/>
      </rPr>
      <t>机油滤芯</t>
    </r>
  </si>
  <si>
    <t>S5262313A2076</t>
  </si>
  <si>
    <r>
      <rPr>
        <sz val="10"/>
        <rFont val="宋体"/>
        <charset val="134"/>
      </rPr>
      <t>福田康明斯</t>
    </r>
    <r>
      <rPr>
        <sz val="10"/>
        <rFont val="Arial"/>
        <charset val="0"/>
      </rPr>
      <t>ISF3.8</t>
    </r>
    <r>
      <rPr>
        <sz val="10"/>
        <rFont val="宋体"/>
        <charset val="134"/>
      </rPr>
      <t>机油滤芯</t>
    </r>
  </si>
  <si>
    <t>库存一口价46.50</t>
  </si>
  <si>
    <t>弗列加原厂不下点</t>
  </si>
  <si>
    <t>WLF17356A6393</t>
  </si>
  <si>
    <r>
      <rPr>
        <sz val="10"/>
        <rFont val="宋体"/>
        <charset val="134"/>
      </rPr>
      <t>机油滤清器部件（</t>
    </r>
    <r>
      <rPr>
        <sz val="10"/>
        <rFont val="Arial"/>
        <charset val="0"/>
      </rPr>
      <t>5266016-ISF2.8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</si>
  <si>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东亚包装库存价</t>
    </r>
    <r>
      <rPr>
        <sz val="10"/>
        <rFont val="Arial"/>
        <charset val="134"/>
      </rPr>
      <t xml:space="preserve"> 42</t>
    </r>
  </si>
  <si>
    <t>滤清器A6393</t>
  </si>
  <si>
    <t>FL111000000692A6393</t>
  </si>
  <si>
    <r>
      <rPr>
        <sz val="10"/>
        <rFont val="宋体"/>
        <charset val="134"/>
      </rPr>
      <t>滤芯</t>
    </r>
  </si>
  <si>
    <t>WFF5706A6393</t>
  </si>
  <si>
    <r>
      <rPr>
        <sz val="10"/>
        <rFont val="宋体"/>
        <charset val="134"/>
      </rPr>
      <t>柴油滤清器部件（</t>
    </r>
    <r>
      <rPr>
        <sz val="10"/>
        <rFont val="Arial"/>
        <charset val="0"/>
      </rPr>
      <t>ISF3.8</t>
    </r>
    <r>
      <rPr>
        <sz val="10"/>
        <rFont val="宋体"/>
        <charset val="134"/>
      </rPr>
      <t>）</t>
    </r>
  </si>
  <si>
    <t>SFS19925WUMFA2076</t>
  </si>
  <si>
    <r>
      <rPr>
        <sz val="10"/>
        <rFont val="宋体"/>
        <charset val="134"/>
      </rPr>
      <t>福田康明斯柴油滤芯</t>
    </r>
  </si>
  <si>
    <r>
      <rPr>
        <sz val="10"/>
        <rFont val="宋体"/>
        <charset val="134"/>
      </rPr>
      <t>一口价弗列加包装</t>
    </r>
    <r>
      <rPr>
        <sz val="10"/>
        <rFont val="Arial"/>
        <charset val="134"/>
      </rPr>
      <t>51</t>
    </r>
  </si>
  <si>
    <t>喷油器</t>
  </si>
  <si>
    <t>680,库存价一口价</t>
  </si>
  <si>
    <t>816,库存价一口价</t>
  </si>
  <si>
    <r>
      <rPr>
        <sz val="10"/>
        <color indexed="8"/>
        <rFont val="宋体"/>
        <charset val="134"/>
      </rPr>
      <t>喷油器</t>
    </r>
  </si>
  <si>
    <t>430,库存价一口价</t>
  </si>
  <si>
    <r>
      <rPr>
        <sz val="10"/>
        <color indexed="8"/>
        <rFont val="宋体"/>
        <charset val="134"/>
      </rPr>
      <t>连杆</t>
    </r>
    <r>
      <rPr>
        <sz val="10"/>
        <color rgb="FF000000"/>
        <rFont val="Arial"/>
        <charset val="0"/>
      </rPr>
      <t>(</t>
    </r>
    <r>
      <rPr>
        <sz val="10"/>
        <color indexed="8"/>
        <rFont val="宋体"/>
        <charset val="134"/>
      </rPr>
      <t>国五康瑞</t>
    </r>
    <r>
      <rPr>
        <sz val="10"/>
        <color rgb="FF000000"/>
        <rFont val="Arial"/>
        <charset val="0"/>
      </rPr>
      <t>H3)</t>
    </r>
  </si>
  <si>
    <r>
      <rPr>
        <sz val="10"/>
        <color indexed="8"/>
        <rFont val="宋体"/>
        <charset val="134"/>
      </rPr>
      <t>连杆</t>
    </r>
  </si>
  <si>
    <r>
      <rPr>
        <sz val="10"/>
        <color indexed="8"/>
        <rFont val="宋体"/>
        <charset val="134"/>
      </rPr>
      <t>扭振减振器</t>
    </r>
  </si>
  <si>
    <r>
      <rPr>
        <sz val="10"/>
        <rFont val="宋体"/>
        <charset val="134"/>
      </rPr>
      <t>（</t>
    </r>
    <r>
      <rPr>
        <sz val="10"/>
        <rFont val="Arial"/>
        <charset val="134"/>
      </rPr>
      <t>A2080</t>
    </r>
    <r>
      <rPr>
        <sz val="10"/>
        <rFont val="宋体"/>
        <charset val="134"/>
      </rPr>
      <t>）</t>
    </r>
    <r>
      <rPr>
        <sz val="10"/>
        <rFont val="Arial"/>
        <charset val="134"/>
      </rPr>
      <t>ISF</t>
    </r>
    <r>
      <rPr>
        <sz val="10"/>
        <rFont val="宋体"/>
        <charset val="134"/>
      </rPr>
      <t>系列散件全品种</t>
    </r>
  </si>
  <si>
    <t>一单一议</t>
  </si>
  <si>
    <t>供货号</t>
  </si>
  <si>
    <t>品名</t>
  </si>
  <si>
    <t>库存</t>
  </si>
  <si>
    <t>数量</t>
  </si>
  <si>
    <t>牌价单价</t>
  </si>
  <si>
    <t>牌价总金额</t>
  </si>
  <si>
    <t>折扣下点</t>
  </si>
  <si>
    <t>折后单价</t>
  </si>
  <si>
    <t>牌价单价范围（元）</t>
  </si>
  <si>
    <t>项数</t>
  </si>
  <si>
    <t>项数占比</t>
  </si>
  <si>
    <t>金额占比</t>
  </si>
  <si>
    <t>福田政策</t>
  </si>
  <si>
    <t>含税进价</t>
  </si>
  <si>
    <t>顶格政策</t>
  </si>
  <si>
    <t>有</t>
  </si>
  <si>
    <t>库存一口价</t>
  </si>
  <si>
    <r>
      <rPr>
        <sz val="10"/>
        <color rgb="FF000000"/>
        <rFont val="等线"/>
        <charset val="134"/>
      </rPr>
      <t>单价</t>
    </r>
    <r>
      <rPr>
        <sz val="10"/>
        <color rgb="FF000000"/>
        <rFont val="Arial"/>
        <charset val="134"/>
      </rPr>
      <t xml:space="preserve"> </t>
    </r>
    <r>
      <rPr>
        <sz val="10"/>
        <color rgb="FF000000"/>
        <rFont val="等线"/>
        <charset val="134"/>
      </rPr>
      <t>小于等于5</t>
    </r>
  </si>
  <si>
    <r>
      <rPr>
        <sz val="10"/>
        <color rgb="FF000000"/>
        <rFont val="等线"/>
        <charset val="134"/>
      </rPr>
      <t>单价</t>
    </r>
    <r>
      <rPr>
        <sz val="10"/>
        <color rgb="FF000000"/>
        <rFont val="Arial"/>
        <charset val="134"/>
      </rPr>
      <t xml:space="preserve"> 5</t>
    </r>
    <r>
      <rPr>
        <sz val="10"/>
        <color rgb="FF000000"/>
        <rFont val="宋体"/>
        <charset val="134"/>
      </rPr>
      <t>＜</t>
    </r>
    <r>
      <rPr>
        <sz val="10"/>
        <color rgb="FF000000"/>
        <rFont val="等线"/>
        <charset val="134"/>
      </rPr>
      <t>且</t>
    </r>
    <r>
      <rPr>
        <sz val="10"/>
        <color rgb="FF000000"/>
        <rFont val="Arial"/>
        <charset val="134"/>
      </rPr>
      <t>≤</t>
    </r>
    <r>
      <rPr>
        <sz val="10"/>
        <color rgb="FF000000"/>
        <rFont val="等线"/>
        <charset val="134"/>
      </rPr>
      <t>50</t>
    </r>
  </si>
  <si>
    <t>15-17</t>
  </si>
  <si>
    <r>
      <rPr>
        <sz val="10"/>
        <rFont val="Arial"/>
        <charset val="0"/>
      </rPr>
      <t>ISF2.8</t>
    </r>
    <r>
      <rPr>
        <sz val="10"/>
        <rFont val="宋体"/>
        <charset val="134"/>
      </rPr>
      <t>长缸体合件简体版</t>
    </r>
    <r>
      <rPr>
        <sz val="10"/>
        <rFont val="Arial"/>
        <charset val="0"/>
      </rPr>
      <t>-</t>
    </r>
    <r>
      <rPr>
        <sz val="10"/>
        <rFont val="宋体"/>
        <charset val="134"/>
      </rPr>
      <t>卡友配</t>
    </r>
  </si>
  <si>
    <r>
      <rPr>
        <sz val="10"/>
        <color rgb="FF000000"/>
        <rFont val="等线"/>
        <charset val="134"/>
      </rPr>
      <t>单价50</t>
    </r>
    <r>
      <rPr>
        <sz val="10"/>
        <color rgb="FF000000"/>
        <rFont val="Arial"/>
        <charset val="134"/>
      </rPr>
      <t>&lt;</t>
    </r>
    <r>
      <rPr>
        <sz val="10"/>
        <color rgb="FF000000"/>
        <rFont val="等线"/>
        <charset val="134"/>
      </rPr>
      <t>且</t>
    </r>
    <r>
      <rPr>
        <sz val="10"/>
        <color rgb="FF000000"/>
        <rFont val="Arial"/>
        <charset val="134"/>
      </rPr>
      <t>≤</t>
    </r>
    <r>
      <rPr>
        <sz val="10"/>
        <color rgb="FF000000"/>
        <rFont val="等线"/>
        <charset val="134"/>
      </rPr>
      <t>1000</t>
    </r>
  </si>
  <si>
    <r>
      <rPr>
        <sz val="10"/>
        <rFont val="宋体"/>
        <charset val="0"/>
      </rPr>
      <t>数量小于</t>
    </r>
    <r>
      <rPr>
        <sz val="10"/>
        <rFont val="Arial"/>
        <charset val="0"/>
      </rPr>
      <t>30</t>
    </r>
    <r>
      <rPr>
        <sz val="10"/>
        <rFont val="宋体"/>
        <charset val="0"/>
      </rPr>
      <t>的，下23；数量大于等于</t>
    </r>
    <r>
      <rPr>
        <sz val="10"/>
        <rFont val="Arial"/>
        <charset val="0"/>
      </rPr>
      <t>30</t>
    </r>
    <r>
      <rPr>
        <sz val="10"/>
        <rFont val="宋体"/>
        <charset val="0"/>
      </rPr>
      <t>件的下</t>
    </r>
    <r>
      <rPr>
        <sz val="10"/>
        <rFont val="Arial"/>
        <charset val="0"/>
      </rPr>
      <t xml:space="preserve">24  </t>
    </r>
    <r>
      <rPr>
        <sz val="10"/>
        <rFont val="宋体"/>
        <charset val="0"/>
      </rPr>
      <t>本月福田任务没有完成，缺200万元</t>
    </r>
  </si>
  <si>
    <t>单价1000&lt;且≤10000</t>
  </si>
  <si>
    <r>
      <rPr>
        <sz val="10"/>
        <rFont val="宋体"/>
        <charset val="0"/>
      </rPr>
      <t>数量小于</t>
    </r>
    <r>
      <rPr>
        <sz val="10"/>
        <rFont val="Arial"/>
        <charset val="0"/>
      </rPr>
      <t>10</t>
    </r>
    <r>
      <rPr>
        <sz val="10"/>
        <rFont val="宋体"/>
        <charset val="0"/>
      </rPr>
      <t>的，下</t>
    </r>
    <r>
      <rPr>
        <sz val="10"/>
        <rFont val="Arial"/>
        <charset val="0"/>
      </rPr>
      <t>24</t>
    </r>
    <r>
      <rPr>
        <sz val="10"/>
        <rFont val="宋体"/>
        <charset val="0"/>
      </rPr>
      <t>；
数量大于等于</t>
    </r>
    <r>
      <rPr>
        <sz val="10"/>
        <rFont val="Arial"/>
        <charset val="0"/>
      </rPr>
      <t>10</t>
    </r>
    <r>
      <rPr>
        <sz val="10"/>
        <rFont val="宋体"/>
        <charset val="0"/>
      </rPr>
      <t>件的下</t>
    </r>
    <r>
      <rPr>
        <sz val="10"/>
        <rFont val="Arial"/>
        <charset val="0"/>
      </rPr>
      <t xml:space="preserve">25.5  
</t>
    </r>
    <r>
      <rPr>
        <sz val="10"/>
        <rFont val="宋体"/>
        <charset val="0"/>
      </rPr>
      <t>本月福田任务没有完成，缺</t>
    </r>
    <r>
      <rPr>
        <sz val="10"/>
        <rFont val="Arial"/>
        <charset val="0"/>
      </rPr>
      <t>200</t>
    </r>
    <r>
      <rPr>
        <sz val="10"/>
        <rFont val="宋体"/>
        <charset val="0"/>
      </rPr>
      <t>万元</t>
    </r>
  </si>
  <si>
    <t>S</t>
  </si>
  <si>
    <t>10000以上</t>
  </si>
  <si>
    <r>
      <rPr>
        <sz val="10"/>
        <rFont val="宋体"/>
        <charset val="134"/>
      </rPr>
      <t>9月18日，供应部王双说卡友配大于</t>
    </r>
    <r>
      <rPr>
        <sz val="10"/>
        <rFont val="Arial"/>
        <charset val="0"/>
      </rPr>
      <t>10</t>
    </r>
    <r>
      <rPr>
        <sz val="10"/>
        <rFont val="宋体"/>
        <charset val="134"/>
      </rPr>
      <t>万下</t>
    </r>
    <r>
      <rPr>
        <sz val="10"/>
        <rFont val="Arial"/>
        <charset val="0"/>
      </rPr>
      <t>13</t>
    </r>
    <r>
      <rPr>
        <sz val="10"/>
        <rFont val="宋体"/>
        <charset val="134"/>
      </rPr>
      <t>个点</t>
    </r>
  </si>
  <si>
    <t>滤清器供货号</t>
  </si>
  <si>
    <t>E9300/E3544</t>
  </si>
  <si>
    <r>
      <rPr>
        <sz val="10"/>
        <rFont val="宋体"/>
        <charset val="134"/>
      </rPr>
      <t>福田滤清器</t>
    </r>
    <r>
      <rPr>
        <sz val="10"/>
        <rFont val="Arial"/>
        <charset val="0"/>
      </rPr>
      <t>A2076</t>
    </r>
    <r>
      <rPr>
        <sz val="10"/>
        <rFont val="宋体"/>
        <charset val="134"/>
      </rPr>
      <t>弗列加</t>
    </r>
  </si>
  <si>
    <t>牌价单价范围</t>
  </si>
  <si>
    <t>欧康政策</t>
  </si>
  <si>
    <r>
      <rPr>
        <sz val="10"/>
        <rFont val="Arial"/>
        <charset val="0"/>
      </rPr>
      <t>3</t>
    </r>
    <r>
      <rPr>
        <sz val="10"/>
        <rFont val="宋体"/>
        <charset val="134"/>
      </rPr>
      <t>台</t>
    </r>
  </si>
  <si>
    <r>
      <rPr>
        <sz val="10"/>
        <rFont val="Arial"/>
        <charset val="0"/>
      </rPr>
      <t>2.5</t>
    </r>
    <r>
      <rPr>
        <sz val="10"/>
        <rFont val="宋体"/>
        <charset val="134"/>
      </rPr>
      <t>中缸总成</t>
    </r>
  </si>
  <si>
    <t>25</t>
  </si>
  <si>
    <t>不区别</t>
  </si>
  <si>
    <t>1000元以上数量大于30下17个点；剩余下15个点</t>
  </si>
  <si>
    <r>
      <rPr>
        <sz val="10"/>
        <rFont val="Arial"/>
        <charset val="0"/>
      </rPr>
      <t>5</t>
    </r>
    <r>
      <rPr>
        <sz val="10"/>
        <rFont val="宋体"/>
        <charset val="134"/>
      </rPr>
      <t>台</t>
    </r>
  </si>
  <si>
    <r>
      <rPr>
        <sz val="10"/>
        <rFont val="Arial"/>
        <charset val="0"/>
      </rPr>
      <t>2.5</t>
    </r>
    <r>
      <rPr>
        <sz val="10"/>
        <rFont val="宋体"/>
        <charset val="134"/>
      </rPr>
      <t>长缸体总成</t>
    </r>
  </si>
  <si>
    <t>BOSCH全新中性包装一口价格</t>
  </si>
  <si>
    <r>
      <rPr>
        <sz val="10"/>
        <rFont val="宋体"/>
        <charset val="134"/>
      </rPr>
      <t>滤清器</t>
    </r>
    <r>
      <rPr>
        <sz val="10"/>
        <rFont val="Arial"/>
        <charset val="0"/>
      </rPr>
      <t>A6393</t>
    </r>
  </si>
  <si>
    <t>东亚包装</t>
  </si>
  <si>
    <r>
      <rPr>
        <sz val="10"/>
        <rFont val="宋体"/>
        <charset val="0"/>
      </rPr>
      <t>国</t>
    </r>
    <r>
      <rPr>
        <sz val="10"/>
        <rFont val="Arial"/>
        <charset val="0"/>
      </rPr>
      <t>6</t>
    </r>
    <r>
      <rPr>
        <sz val="10"/>
        <rFont val="宋体"/>
        <charset val="0"/>
      </rPr>
      <t>后处理件下</t>
    </r>
    <r>
      <rPr>
        <sz val="10"/>
        <rFont val="Arial"/>
        <charset val="0"/>
      </rPr>
      <t>4</t>
    </r>
    <r>
      <rPr>
        <sz val="10"/>
        <rFont val="宋体"/>
        <charset val="0"/>
      </rPr>
      <t>个点</t>
    </r>
  </si>
  <si>
    <r>
      <rPr>
        <b/>
        <sz val="20"/>
        <rFont val="Arial"/>
        <charset val="134"/>
      </rPr>
      <t>Shiyan Enter Auto Parts Co., Ltd.</t>
    </r>
    <r>
      <rPr>
        <sz val="20"/>
        <rFont val="Arial"/>
        <charset val="134"/>
      </rPr>
      <t xml:space="preserve">             </t>
    </r>
    <r>
      <rPr>
        <sz val="12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
Add: No. 2#, West Zhongguan Road, Bailang District, Shiyan City, Hubei Province, China
 Tel:+86 719 8319165            Zip code: 442000       
 Website: www.syenter.com   www.syenter.en.alibaba.com</t>
    </r>
  </si>
  <si>
    <t>Quotation Sheet</t>
  </si>
  <si>
    <t>To.: Dmitriy</t>
  </si>
  <si>
    <t xml:space="preserve">From: </t>
  </si>
  <si>
    <t>Shiyan Enter Auto Parts Co., Ltd.</t>
  </si>
  <si>
    <t>Add.:</t>
  </si>
  <si>
    <t>Attn.:</t>
  </si>
  <si>
    <t>Lily Zhang</t>
  </si>
  <si>
    <t>Date:</t>
  </si>
  <si>
    <t>Sept.19, 2025</t>
  </si>
  <si>
    <t xml:space="preserve">Tel.: </t>
  </si>
  <si>
    <t>Contact:</t>
  </si>
  <si>
    <t>+8619071952102</t>
  </si>
  <si>
    <t>No.</t>
  </si>
  <si>
    <t>Part No.</t>
  </si>
  <si>
    <t>Russia Name</t>
  </si>
  <si>
    <t>Quality Grade</t>
  </si>
  <si>
    <t>Order
 Q'ty</t>
  </si>
  <si>
    <t>Unit</t>
  </si>
  <si>
    <t>Unit 
Price</t>
  </si>
  <si>
    <t>Total 
Amount</t>
  </si>
  <si>
    <t>Remark</t>
  </si>
  <si>
    <t>A+</t>
  </si>
  <si>
    <t>B+</t>
  </si>
  <si>
    <t>Only original Foton parts.For Automates(B+ quality) the minimum order: 30000CNY.</t>
  </si>
  <si>
    <t>Bosch 100% new,neutral packing.</t>
  </si>
  <si>
    <t>Original East Asia price and packing.</t>
  </si>
  <si>
    <t>Schaeffler one set price:165CNY</t>
  </si>
  <si>
    <t>Aftermarket(B+ quality)
 unit price:75CNY.</t>
  </si>
  <si>
    <t>Original factory supply suspended.</t>
  </si>
  <si>
    <t>Original East Asia price 
and packing:42CNY.</t>
  </si>
  <si>
    <t>Total cost</t>
  </si>
  <si>
    <t>Notes:</t>
  </si>
  <si>
    <t>1. Price Terms: Above prices are based on FOB price.Quantity determines price,as quantity changes,so does prices.
2. Packing Mode: Original &amp; Neutral Packing
3. Payment Terms: TT, 20% deposit, 80% balance before delivery.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</si>
</sst>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176" formatCode="\$#,##0.00;\-\$#,##0.00"/>
    <numFmt numFmtId="177" formatCode="yyyy/m/d;@"/>
    <numFmt numFmtId="178" formatCode="0_ "/>
    <numFmt numFmtId="179" formatCode="[$-409]d\-mmm\-yy;@"/>
    <numFmt numFmtId="180" formatCode="0.00_ "/>
  </numFmts>
  <fonts count="65">
    <font>
      <sz val="8"/>
      <name val="Arial"/>
      <charset val="0"/>
    </font>
    <font>
      <sz val="14"/>
      <name val="Arial"/>
      <charset val="0"/>
    </font>
    <font>
      <sz val="9"/>
      <name val="Arial"/>
      <charset val="0"/>
    </font>
    <font>
      <b/>
      <sz val="20"/>
      <name val="Arial"/>
      <charset val="134"/>
    </font>
    <font>
      <b/>
      <sz val="9"/>
      <name val="Arial"/>
      <charset val="134"/>
    </font>
    <font>
      <sz val="12"/>
      <color theme="1"/>
      <name val="Arial"/>
      <charset val="134"/>
    </font>
    <font>
      <sz val="9"/>
      <color theme="1"/>
      <name val="Arial"/>
      <charset val="134"/>
    </font>
    <font>
      <sz val="12"/>
      <name val="Arial"/>
      <charset val="134"/>
    </font>
    <font>
      <sz val="12"/>
      <color indexed="8"/>
      <name val="Arial"/>
      <charset val="134"/>
    </font>
    <font>
      <sz val="9"/>
      <color indexed="8"/>
      <name val="Arial"/>
      <charset val="134"/>
    </font>
    <font>
      <b/>
      <sz val="14"/>
      <name val="Calibri"/>
      <charset val="134"/>
    </font>
    <font>
      <sz val="12"/>
      <name val="Calibri"/>
      <charset val="134"/>
    </font>
    <font>
      <sz val="11"/>
      <name val="Arial"/>
      <charset val="0"/>
    </font>
    <font>
      <sz val="10"/>
      <name val="Arial"/>
      <charset val="0"/>
    </font>
    <font>
      <sz val="12"/>
      <color rgb="FFFF0000"/>
      <name val="Calibri"/>
      <charset val="134"/>
    </font>
    <font>
      <b/>
      <sz val="12"/>
      <name val="Calibri"/>
      <charset val="134"/>
    </font>
    <font>
      <sz val="11"/>
      <name val="Arial"/>
      <charset val="162"/>
    </font>
    <font>
      <sz val="11"/>
      <color theme="1"/>
      <name val="Arial"/>
      <charset val="162"/>
    </font>
    <font>
      <sz val="10"/>
      <color theme="1"/>
      <name val="Arial"/>
      <charset val="162"/>
    </font>
    <font>
      <sz val="10"/>
      <name val="Arial"/>
      <charset val="134"/>
    </font>
    <font>
      <sz val="9"/>
      <color theme="1"/>
      <name val="Arial"/>
      <charset val="162"/>
    </font>
    <font>
      <b/>
      <sz val="12"/>
      <color theme="1"/>
      <name val="Arial"/>
      <charset val="0"/>
    </font>
    <font>
      <b/>
      <sz val="9"/>
      <color theme="1"/>
      <name val="Arial"/>
      <charset val="0"/>
    </font>
    <font>
      <b/>
      <sz val="11"/>
      <color theme="1"/>
      <name val="Arial"/>
      <charset val="0"/>
    </font>
    <font>
      <sz val="10"/>
      <name val="宋体"/>
      <charset val="134"/>
    </font>
    <font>
      <sz val="10"/>
      <color rgb="FFFF0000"/>
      <name val="宋体"/>
      <charset val="0"/>
    </font>
    <font>
      <sz val="10"/>
      <name val="等线"/>
      <charset val="134"/>
    </font>
    <font>
      <sz val="10"/>
      <name val="宋体"/>
      <charset val="0"/>
    </font>
    <font>
      <sz val="10"/>
      <color rgb="FF000000"/>
      <name val="等线"/>
      <charset val="134"/>
    </font>
    <font>
      <sz val="10"/>
      <color rgb="FFFF0000"/>
      <name val="Arial"/>
      <charset val="0"/>
    </font>
    <font>
      <sz val="10"/>
      <color rgb="FF000000"/>
      <name val="Arial"/>
      <charset val="0"/>
    </font>
    <font>
      <b/>
      <sz val="10"/>
      <name val="Arial"/>
      <charset val="0"/>
    </font>
    <font>
      <b/>
      <sz val="11"/>
      <name val="Arial"/>
      <charset val="0"/>
    </font>
    <font>
      <sz val="11"/>
      <color rgb="FFFF0000"/>
      <name val="Arial"/>
      <charset val="0"/>
    </font>
    <font>
      <sz val="10"/>
      <color rgb="FFFF0000"/>
      <name val="Arial"/>
      <charset val="134"/>
    </font>
    <font>
      <sz val="10"/>
      <color rgb="FFFF0000"/>
      <name val="宋体"/>
      <charset val="134"/>
    </font>
    <font>
      <sz val="10"/>
      <color rgb="FF000000"/>
      <name val="宋体"/>
      <charset val="134"/>
    </font>
    <font>
      <sz val="10.5"/>
      <name val="Arial"/>
      <charset val="0"/>
    </font>
    <font>
      <sz val="10"/>
      <color theme="0" tint="-0.249977111117893"/>
      <name val="Arial"/>
      <charset val="0"/>
    </font>
    <font>
      <b/>
      <sz val="14"/>
      <name val="Arial"/>
      <charset val="0"/>
    </font>
    <font>
      <b/>
      <sz val="9"/>
      <name val="Arial"/>
      <charset val="0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sz val="10"/>
      <color indexed="8"/>
      <name val="宋体"/>
      <charset val="134"/>
    </font>
    <font>
      <sz val="20"/>
      <name val="Arial"/>
      <charset val="134"/>
    </font>
    <font>
      <sz val="10"/>
      <color rgb="FF000000"/>
      <name val="Arial"/>
      <charset val="134"/>
    </font>
    <font>
      <sz val="9"/>
      <name val="宋体"/>
      <charset val="0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5" borderId="47" applyNumberFormat="0" applyFont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48" applyNumberFormat="0" applyFill="0" applyAlignment="0" applyProtection="0"/>
    <xf numFmtId="0" fontId="47" fillId="0" borderId="49" applyNumberFormat="0" applyFill="0" applyAlignment="0" applyProtection="0"/>
    <xf numFmtId="0" fontId="48" fillId="0" borderId="50" applyNumberFormat="0" applyFill="0" applyAlignment="0" applyProtection="0"/>
    <xf numFmtId="0" fontId="48" fillId="0" borderId="0" applyNumberFormat="0" applyFill="0" applyBorder="0" applyAlignment="0" applyProtection="0"/>
    <xf numFmtId="0" fontId="49" fillId="6" borderId="51" applyNumberFormat="0" applyAlignment="0" applyProtection="0"/>
    <xf numFmtId="0" fontId="50" fillId="7" borderId="52" applyNumberFormat="0" applyAlignment="0" applyProtection="0"/>
    <xf numFmtId="0" fontId="51" fillId="7" borderId="51" applyNumberFormat="0" applyAlignment="0" applyProtection="0"/>
    <xf numFmtId="0" fontId="52" fillId="8" borderId="53" applyNumberFormat="0" applyAlignment="0" applyProtection="0"/>
    <xf numFmtId="0" fontId="53" fillId="0" borderId="54" applyNumberFormat="0" applyFill="0" applyAlignment="0" applyProtection="0"/>
    <xf numFmtId="0" fontId="54" fillId="0" borderId="55" applyNumberFormat="0" applyFill="0" applyAlignment="0" applyProtection="0"/>
    <xf numFmtId="0" fontId="55" fillId="9" borderId="0" applyNumberFormat="0" applyBorder="0" applyAlignment="0" applyProtection="0"/>
    <xf numFmtId="0" fontId="56" fillId="10" borderId="0" applyNumberFormat="0" applyBorder="0" applyAlignment="0" applyProtection="0"/>
    <xf numFmtId="0" fontId="57" fillId="11" borderId="0" applyNumberFormat="0" applyBorder="0" applyAlignment="0" applyProtection="0"/>
    <xf numFmtId="0" fontId="58" fillId="12" borderId="0" applyNumberFormat="0" applyBorder="0" applyAlignment="0" applyProtection="0"/>
    <xf numFmtId="0" fontId="59" fillId="13" borderId="0" applyNumberFormat="0" applyBorder="0" applyAlignment="0" applyProtection="0"/>
    <xf numFmtId="0" fontId="59" fillId="14" borderId="0" applyNumberFormat="0" applyBorder="0" applyAlignment="0" applyProtection="0"/>
    <xf numFmtId="0" fontId="59" fillId="15" borderId="0" applyNumberFormat="0" applyBorder="0" applyAlignment="0" applyProtection="0"/>
    <xf numFmtId="0" fontId="58" fillId="16" borderId="0" applyNumberFormat="0" applyBorder="0" applyAlignment="0" applyProtection="0"/>
    <xf numFmtId="0" fontId="59" fillId="17" borderId="0" applyNumberFormat="0" applyBorder="0" applyAlignment="0" applyProtection="0"/>
    <xf numFmtId="0" fontId="59" fillId="18" borderId="0" applyNumberFormat="0" applyBorder="0" applyAlignment="0" applyProtection="0"/>
    <xf numFmtId="0" fontId="59" fillId="19" borderId="0" applyNumberFormat="0" applyBorder="0" applyAlignment="0" applyProtection="0"/>
    <xf numFmtId="0" fontId="58" fillId="20" borderId="0" applyNumberFormat="0" applyBorder="0" applyAlignment="0" applyProtection="0"/>
    <xf numFmtId="0" fontId="59" fillId="21" borderId="0" applyNumberFormat="0" applyBorder="0" applyAlignment="0" applyProtection="0"/>
    <xf numFmtId="0" fontId="59" fillId="22" borderId="0" applyNumberFormat="0" applyBorder="0" applyAlignment="0" applyProtection="0"/>
    <xf numFmtId="0" fontId="59" fillId="23" borderId="0" applyNumberFormat="0" applyBorder="0" applyAlignment="0" applyProtection="0"/>
    <xf numFmtId="0" fontId="58" fillId="24" borderId="0" applyNumberFormat="0" applyBorder="0" applyAlignment="0" applyProtection="0"/>
    <xf numFmtId="0" fontId="59" fillId="25" borderId="0" applyNumberFormat="0" applyBorder="0" applyAlignment="0" applyProtection="0"/>
    <xf numFmtId="0" fontId="59" fillId="26" borderId="0" applyNumberFormat="0" applyBorder="0" applyAlignment="0" applyProtection="0"/>
    <xf numFmtId="0" fontId="59" fillId="27" borderId="0" applyNumberFormat="0" applyBorder="0" applyAlignment="0" applyProtection="0"/>
    <xf numFmtId="0" fontId="58" fillId="28" borderId="0" applyNumberFormat="0" applyBorder="0" applyAlignment="0" applyProtection="0"/>
    <xf numFmtId="0" fontId="59" fillId="29" borderId="0" applyNumberFormat="0" applyBorder="0" applyAlignment="0" applyProtection="0"/>
    <xf numFmtId="0" fontId="59" fillId="30" borderId="0" applyNumberFormat="0" applyBorder="0" applyAlignment="0" applyProtection="0"/>
    <xf numFmtId="0" fontId="59" fillId="31" borderId="0" applyNumberFormat="0" applyBorder="0" applyAlignment="0" applyProtection="0"/>
    <xf numFmtId="0" fontId="58" fillId="32" borderId="0" applyNumberFormat="0" applyBorder="0" applyAlignment="0" applyProtection="0"/>
    <xf numFmtId="0" fontId="59" fillId="33" borderId="0" applyNumberFormat="0" applyBorder="0" applyAlignment="0" applyProtection="0"/>
    <xf numFmtId="0" fontId="59" fillId="34" borderId="0" applyNumberFormat="0" applyBorder="0" applyAlignment="0" applyProtection="0"/>
    <xf numFmtId="0" fontId="59" fillId="35" borderId="0" applyNumberFormat="0" applyBorder="0" applyAlignment="0" applyProtection="0"/>
  </cellStyleXfs>
  <cellXfs count="25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0" xfId="0" applyFont="1"/>
    <xf numFmtId="7" fontId="0" fillId="0" borderId="0" xfId="0" applyNumberFormat="1" applyFont="1" applyAlignment="1">
      <alignment horizontal="center"/>
    </xf>
    <xf numFmtId="7" fontId="0" fillId="0" borderId="0" xfId="0" applyNumberFormat="1"/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7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5" fillId="0" borderId="4" xfId="0" applyNumberFormat="1" applyFont="1" applyFill="1" applyBorder="1" applyAlignment="1" applyProtection="1">
      <alignment vertical="center"/>
    </xf>
    <xf numFmtId="0" fontId="6" fillId="0" borderId="5" xfId="0" applyNumberFormat="1" applyFont="1" applyFill="1" applyBorder="1" applyAlignment="1" applyProtection="1">
      <alignment horizontal="left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7" fillId="0" borderId="5" xfId="0" applyNumberFormat="1" applyFont="1" applyFill="1" applyBorder="1" applyAlignment="1" applyProtection="1">
      <alignment horizontal="center" vertical="center"/>
    </xf>
    <xf numFmtId="0" fontId="5" fillId="0" borderId="5" xfId="0" applyNumberFormat="1" applyFont="1" applyFill="1" applyBorder="1" applyAlignment="1" applyProtection="1">
      <alignment horizontal="left" vertical="center" wrapText="1"/>
    </xf>
    <xf numFmtId="7" fontId="7" fillId="0" borderId="5" xfId="0" applyNumberFormat="1" applyFont="1" applyFill="1" applyBorder="1" applyAlignment="1" applyProtection="1">
      <alignment horizontal="center" vertical="center" wrapText="1"/>
    </xf>
    <xf numFmtId="7" fontId="5" fillId="0" borderId="5" xfId="0" applyNumberFormat="1" applyFont="1" applyFill="1" applyBorder="1" applyAlignment="1" applyProtection="1">
      <alignment horizontal="left" vertical="center" wrapText="1"/>
    </xf>
    <xf numFmtId="176" fontId="5" fillId="0" borderId="6" xfId="0" applyNumberFormat="1" applyFont="1" applyFill="1" applyBorder="1" applyAlignment="1" applyProtection="1">
      <alignment horizontal="left" vertical="center"/>
    </xf>
    <xf numFmtId="0" fontId="5" fillId="0" borderId="7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center" wrapText="1"/>
    </xf>
    <xf numFmtId="7" fontId="7" fillId="0" borderId="0" xfId="0" applyNumberFormat="1" applyFont="1" applyFill="1" applyBorder="1" applyAlignment="1" applyProtection="1">
      <alignment horizontal="center" vertical="center" wrapText="1"/>
    </xf>
    <xf numFmtId="7" fontId="5" fillId="0" borderId="0" xfId="0" applyNumberFormat="1" applyFont="1" applyFill="1" applyBorder="1" applyAlignment="1" applyProtection="1">
      <alignment horizontal="left" vertical="center" wrapText="1"/>
    </xf>
    <xf numFmtId="176" fontId="5" fillId="0" borderId="8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vertical="center" wrapText="1"/>
    </xf>
    <xf numFmtId="177" fontId="5" fillId="0" borderId="8" xfId="0" applyNumberFormat="1" applyFont="1" applyFill="1" applyBorder="1" applyAlignment="1" applyProtection="1">
      <alignment horizontal="left" vertical="center"/>
    </xf>
    <xf numFmtId="0" fontId="8" fillId="0" borderId="9" xfId="0" applyNumberFormat="1" applyFont="1" applyFill="1" applyBorder="1" applyAlignment="1" applyProtection="1">
      <alignment vertical="center"/>
    </xf>
    <xf numFmtId="49" fontId="9" fillId="0" borderId="10" xfId="0" applyNumberFormat="1" applyFont="1" applyFill="1" applyBorder="1" applyAlignment="1" applyProtection="1">
      <alignment vertical="center" wrapText="1"/>
    </xf>
    <xf numFmtId="49" fontId="8" fillId="0" borderId="10" xfId="0" applyNumberFormat="1" applyFont="1" applyFill="1" applyBorder="1" applyAlignment="1" applyProtection="1">
      <alignment horizontal="center" vertical="center" wrapText="1"/>
    </xf>
    <xf numFmtId="0" fontId="7" fillId="0" borderId="10" xfId="0" applyNumberFormat="1" applyFont="1" applyFill="1" applyBorder="1" applyAlignment="1" applyProtection="1">
      <alignment horizontal="center" vertical="center"/>
    </xf>
    <xf numFmtId="0" fontId="8" fillId="0" borderId="10" xfId="0" applyNumberFormat="1" applyFont="1" applyFill="1" applyBorder="1" applyAlignment="1" applyProtection="1">
      <alignment horizontal="left" vertical="center" wrapText="1"/>
    </xf>
    <xf numFmtId="7" fontId="7" fillId="0" borderId="10" xfId="0" applyNumberFormat="1" applyFont="1" applyFill="1" applyBorder="1" applyAlignment="1" applyProtection="1">
      <alignment horizontal="center" vertical="center" wrapText="1"/>
    </xf>
    <xf numFmtId="7" fontId="8" fillId="0" borderId="10" xfId="0" applyNumberFormat="1" applyFont="1" applyFill="1" applyBorder="1" applyAlignment="1" applyProtection="1">
      <alignment horizontal="left" vertical="center" wrapText="1"/>
    </xf>
    <xf numFmtId="176" fontId="5" fillId="0" borderId="11" xfId="0" applyNumberFormat="1" applyFont="1" applyFill="1" applyBorder="1" applyAlignment="1" applyProtection="1">
      <alignment vertical="center"/>
    </xf>
    <xf numFmtId="0" fontId="10" fillId="0" borderId="12" xfId="0" applyFont="1" applyFill="1" applyBorder="1" applyAlignment="1">
      <alignment horizontal="center" vertical="center"/>
    </xf>
    <xf numFmtId="178" fontId="10" fillId="0" borderId="12" xfId="0" applyNumberFormat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wrapText="1"/>
    </xf>
    <xf numFmtId="7" fontId="10" fillId="0" borderId="13" xfId="0" applyNumberFormat="1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2" fillId="0" borderId="13" xfId="0" applyNumberFormat="1" applyFont="1" applyBorder="1" applyAlignment="1">
      <alignment horizontal="left" vertical="top" wrapText="1"/>
    </xf>
    <xf numFmtId="179" fontId="11" fillId="0" borderId="13" xfId="0" applyNumberFormat="1" applyFont="1" applyFill="1" applyBorder="1" applyAlignment="1" applyProtection="1">
      <alignment horizontal="center" vertical="center"/>
    </xf>
    <xf numFmtId="1" fontId="12" fillId="0" borderId="13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7" fontId="11" fillId="0" borderId="13" xfId="0" applyNumberFormat="1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left" vertical="center"/>
    </xf>
    <xf numFmtId="0" fontId="14" fillId="0" borderId="13" xfId="0" applyNumberFormat="1" applyFont="1" applyFill="1" applyBorder="1" applyAlignment="1">
      <alignment horizontal="left" vertical="center"/>
    </xf>
    <xf numFmtId="1" fontId="2" fillId="0" borderId="13" xfId="0" applyNumberFormat="1" applyFont="1" applyBorder="1" applyAlignment="1">
      <alignment horizontal="left" vertical="top" wrapText="1"/>
    </xf>
    <xf numFmtId="0" fontId="14" fillId="0" borderId="13" xfId="0" applyFont="1" applyFill="1" applyBorder="1" applyAlignment="1">
      <alignment horizontal="left" vertical="center"/>
    </xf>
    <xf numFmtId="0" fontId="11" fillId="0" borderId="13" xfId="0" applyFont="1" applyFill="1" applyBorder="1" applyAlignment="1">
      <alignment vertical="center"/>
    </xf>
    <xf numFmtId="0" fontId="15" fillId="0" borderId="13" xfId="0" applyFont="1" applyFill="1" applyBorder="1" applyAlignment="1">
      <alignment vertical="center"/>
    </xf>
    <xf numFmtId="7" fontId="16" fillId="0" borderId="13" xfId="0" applyNumberFormat="1" applyFont="1" applyFill="1" applyBorder="1" applyAlignment="1" applyProtection="1">
      <alignment horizontal="center" vertical="center"/>
    </xf>
    <xf numFmtId="0" fontId="17" fillId="0" borderId="14" xfId="0" applyNumberFormat="1" applyFont="1" applyFill="1" applyBorder="1" applyAlignment="1" applyProtection="1">
      <alignment horizontal="center" vertical="center"/>
    </xf>
    <xf numFmtId="0" fontId="18" fillId="0" borderId="14" xfId="0" applyNumberFormat="1" applyFont="1" applyFill="1" applyBorder="1" applyAlignment="1" applyProtection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20" fillId="0" borderId="14" xfId="0" applyNumberFormat="1" applyFont="1" applyFill="1" applyBorder="1" applyAlignment="1" applyProtection="1">
      <alignment horizontal="center" vertical="center" wrapText="1"/>
    </xf>
    <xf numFmtId="0" fontId="18" fillId="0" borderId="14" xfId="0" applyNumberFormat="1" applyFont="1" applyFill="1" applyBorder="1" applyAlignment="1" applyProtection="1">
      <alignment horizontal="center" vertical="center"/>
    </xf>
    <xf numFmtId="1" fontId="2" fillId="0" borderId="13" xfId="0" applyNumberFormat="1" applyFont="1" applyBorder="1" applyAlignment="1">
      <alignment horizontal="left" vertical="center" wrapText="1"/>
    </xf>
    <xf numFmtId="0" fontId="2" fillId="0" borderId="13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0" fillId="0" borderId="14" xfId="0" applyNumberFormat="1" applyFont="1" applyFill="1" applyBorder="1" applyAlignment="1" applyProtection="1">
      <alignment horizontal="center" vertical="center"/>
    </xf>
    <xf numFmtId="0" fontId="21" fillId="0" borderId="13" xfId="0" applyNumberFormat="1" applyFont="1" applyFill="1" applyBorder="1" applyAlignment="1" applyProtection="1">
      <alignment horizontal="center" vertical="center"/>
    </xf>
    <xf numFmtId="0" fontId="22" fillId="0" borderId="13" xfId="0" applyNumberFormat="1" applyFont="1" applyFill="1" applyBorder="1" applyAlignment="1" applyProtection="1">
      <alignment horizontal="center" vertical="center"/>
    </xf>
    <xf numFmtId="7" fontId="17" fillId="0" borderId="13" xfId="0" applyNumberFormat="1" applyFont="1" applyFill="1" applyBorder="1" applyAlignment="1" applyProtection="1">
      <alignment vertical="center"/>
    </xf>
    <xf numFmtId="0" fontId="23" fillId="0" borderId="13" xfId="0" applyNumberFormat="1" applyFont="1" applyFill="1" applyBorder="1" applyAlignment="1" applyProtection="1">
      <alignment vertical="center" wrapText="1"/>
    </xf>
    <xf numFmtId="0" fontId="23" fillId="0" borderId="13" xfId="0" applyNumberFormat="1" applyFont="1" applyFill="1" applyBorder="1" applyAlignment="1" applyProtection="1">
      <alignment vertical="center"/>
    </xf>
    <xf numFmtId="0" fontId="13" fillId="0" borderId="0" xfId="0" applyFont="1" applyAlignment="1">
      <alignment horizontal="center"/>
    </xf>
    <xf numFmtId="178" fontId="13" fillId="0" borderId="0" xfId="0" applyNumberFormat="1" applyFont="1" applyAlignment="1">
      <alignment horizontal="center"/>
    </xf>
    <xf numFmtId="7" fontId="13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0" fontId="24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178" fontId="13" fillId="0" borderId="0" xfId="0" applyNumberFormat="1" applyFont="1" applyBorder="1" applyAlignment="1">
      <alignment horizontal="center"/>
    </xf>
    <xf numFmtId="7" fontId="13" fillId="0" borderId="0" xfId="0" applyNumberFormat="1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10" fontId="13" fillId="0" borderId="13" xfId="0" applyNumberFormat="1" applyFont="1" applyBorder="1" applyAlignment="1">
      <alignment horizontal="center"/>
    </xf>
    <xf numFmtId="7" fontId="13" fillId="0" borderId="13" xfId="0" applyNumberFormat="1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24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4" fillId="0" borderId="20" xfId="0" applyFont="1" applyBorder="1" applyAlignment="1">
      <alignment horizontal="center"/>
    </xf>
    <xf numFmtId="178" fontId="24" fillId="0" borderId="20" xfId="0" applyNumberFormat="1" applyFont="1" applyBorder="1" applyAlignment="1">
      <alignment horizontal="center"/>
    </xf>
    <xf numFmtId="7" fontId="24" fillId="0" borderId="20" xfId="0" applyNumberFormat="1" applyFont="1" applyBorder="1" applyAlignment="1">
      <alignment horizontal="center"/>
    </xf>
    <xf numFmtId="7" fontId="26" fillId="0" borderId="13" xfId="0" applyNumberFormat="1" applyFont="1" applyFill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6" fillId="0" borderId="13" xfId="0" applyFont="1" applyFill="1" applyBorder="1" applyAlignment="1">
      <alignment horizontal="center"/>
    </xf>
    <xf numFmtId="10" fontId="26" fillId="0" borderId="13" xfId="0" applyNumberFormat="1" applyFont="1" applyFill="1" applyBorder="1" applyAlignment="1">
      <alignment horizontal="center"/>
    </xf>
    <xf numFmtId="0" fontId="24" fillId="2" borderId="13" xfId="0" applyFont="1" applyFill="1" applyBorder="1" applyAlignment="1">
      <alignment horizontal="center"/>
    </xf>
    <xf numFmtId="0" fontId="26" fillId="2" borderId="16" xfId="0" applyFont="1" applyFill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7" fillId="0" borderId="0" xfId="0" applyFont="1" applyAlignment="1">
      <alignment horizontal="center"/>
    </xf>
    <xf numFmtId="178" fontId="13" fillId="0" borderId="13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8" fillId="0" borderId="15" xfId="0" applyFont="1" applyFill="1" applyBorder="1" applyAlignment="1">
      <alignment horizontal="center"/>
    </xf>
    <xf numFmtId="0" fontId="13" fillId="2" borderId="16" xfId="0" applyFont="1" applyFill="1" applyBorder="1" applyAlignment="1">
      <alignment horizontal="center"/>
    </xf>
    <xf numFmtId="0" fontId="13" fillId="0" borderId="15" xfId="0" applyFont="1" applyBorder="1" applyAlignment="1">
      <alignment horizontal="center"/>
    </xf>
    <xf numFmtId="180" fontId="13" fillId="0" borderId="16" xfId="0" applyNumberFormat="1" applyFont="1" applyBorder="1" applyAlignment="1">
      <alignment horizontal="center"/>
    </xf>
    <xf numFmtId="7" fontId="13" fillId="0" borderId="16" xfId="0" applyNumberFormat="1" applyFont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27" fillId="2" borderId="13" xfId="0" applyFont="1" applyFill="1" applyBorder="1" applyAlignment="1">
      <alignment horizontal="center" wrapText="1"/>
    </xf>
    <xf numFmtId="7" fontId="13" fillId="0" borderId="23" xfId="0" applyNumberFormat="1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7" fontId="29" fillId="0" borderId="13" xfId="0" applyNumberFormat="1" applyFont="1" applyBorder="1" applyAlignment="1">
      <alignment horizontal="center" vertical="center"/>
    </xf>
    <xf numFmtId="0" fontId="28" fillId="0" borderId="0" xfId="0" applyFont="1" applyFill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178" fontId="13" fillId="0" borderId="24" xfId="0" applyNumberFormat="1" applyFont="1" applyBorder="1" applyAlignment="1">
      <alignment horizontal="center"/>
    </xf>
    <xf numFmtId="7" fontId="13" fillId="0" borderId="24" xfId="0" applyNumberFormat="1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24" fillId="0" borderId="27" xfId="0" applyFont="1" applyBorder="1" applyAlignment="1">
      <alignment horizontal="center"/>
    </xf>
    <xf numFmtId="0" fontId="24" fillId="0" borderId="28" xfId="0" applyFont="1" applyBorder="1" applyAlignment="1">
      <alignment horizontal="center"/>
    </xf>
    <xf numFmtId="0" fontId="26" fillId="0" borderId="20" xfId="0" applyFont="1" applyFill="1" applyBorder="1" applyAlignment="1">
      <alignment horizontal="center"/>
    </xf>
    <xf numFmtId="10" fontId="26" fillId="0" borderId="20" xfId="0" applyNumberFormat="1" applyFont="1" applyFill="1" applyBorder="1" applyAlignment="1">
      <alignment horizontal="center"/>
    </xf>
    <xf numFmtId="7" fontId="26" fillId="0" borderId="20" xfId="0" applyNumberFormat="1" applyFont="1" applyFill="1" applyBorder="1" applyAlignment="1">
      <alignment horizontal="center"/>
    </xf>
    <xf numFmtId="0" fontId="26" fillId="0" borderId="21" xfId="0" applyFont="1" applyFill="1" applyBorder="1" applyAlignment="1">
      <alignment horizontal="center"/>
    </xf>
    <xf numFmtId="0" fontId="13" fillId="0" borderId="29" xfId="0" applyFont="1" applyBorder="1" applyAlignment="1">
      <alignment horizontal="center"/>
    </xf>
    <xf numFmtId="49" fontId="13" fillId="0" borderId="13" xfId="0" applyNumberFormat="1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49" fontId="13" fillId="0" borderId="23" xfId="0" applyNumberFormat="1" applyFont="1" applyBorder="1" applyAlignment="1">
      <alignment horizontal="center"/>
    </xf>
    <xf numFmtId="7" fontId="13" fillId="0" borderId="30" xfId="0" applyNumberFormat="1" applyFont="1" applyBorder="1" applyAlignment="1">
      <alignment horizontal="center"/>
    </xf>
    <xf numFmtId="7" fontId="29" fillId="0" borderId="16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178" fontId="13" fillId="0" borderId="20" xfId="0" applyNumberFormat="1" applyFont="1" applyBorder="1" applyAlignment="1">
      <alignment horizontal="center"/>
    </xf>
    <xf numFmtId="7" fontId="13" fillId="0" borderId="20" xfId="0" applyNumberFormat="1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178" fontId="30" fillId="0" borderId="13" xfId="0" applyNumberFormat="1" applyFont="1" applyBorder="1" applyAlignment="1">
      <alignment horizontal="center" vertical="center"/>
    </xf>
    <xf numFmtId="7" fontId="30" fillId="0" borderId="13" xfId="0" applyNumberFormat="1" applyFont="1" applyBorder="1" applyAlignment="1">
      <alignment horizontal="center" vertical="center"/>
    </xf>
    <xf numFmtId="10" fontId="13" fillId="0" borderId="0" xfId="0" applyNumberFormat="1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0" fontId="27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7" fillId="0" borderId="33" xfId="0" applyFont="1" applyBorder="1" applyAlignment="1">
      <alignment horizontal="center"/>
    </xf>
    <xf numFmtId="178" fontId="13" fillId="0" borderId="18" xfId="0" applyNumberFormat="1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178" fontId="24" fillId="0" borderId="28" xfId="0" applyNumberFormat="1" applyFont="1" applyBorder="1" applyAlignment="1">
      <alignment horizontal="center"/>
    </xf>
    <xf numFmtId="7" fontId="24" fillId="0" borderId="28" xfId="0" applyNumberFormat="1" applyFont="1" applyBorder="1" applyAlignment="1">
      <alignment horizontal="center"/>
    </xf>
    <xf numFmtId="7" fontId="26" fillId="0" borderId="28" xfId="0" applyNumberFormat="1" applyFont="1" applyFill="1" applyBorder="1" applyAlignment="1">
      <alignment horizontal="center"/>
    </xf>
    <xf numFmtId="0" fontId="24" fillId="0" borderId="35" xfId="0" applyFont="1" applyBorder="1" applyAlignment="1">
      <alignment horizontal="center"/>
    </xf>
    <xf numFmtId="0" fontId="13" fillId="0" borderId="36" xfId="0" applyFont="1" applyBorder="1" applyAlignment="1">
      <alignment horizontal="center"/>
    </xf>
    <xf numFmtId="7" fontId="13" fillId="0" borderId="33" xfId="0" applyNumberFormat="1" applyFont="1" applyBorder="1" applyAlignment="1">
      <alignment horizontal="center"/>
    </xf>
    <xf numFmtId="7" fontId="24" fillId="0" borderId="16" xfId="0" applyNumberFormat="1" applyFont="1" applyBorder="1" applyAlignment="1">
      <alignment horizontal="center"/>
    </xf>
    <xf numFmtId="0" fontId="13" fillId="0" borderId="0" xfId="0" applyFont="1"/>
    <xf numFmtId="0" fontId="12" fillId="0" borderId="0" xfId="0" applyFo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180" fontId="13" fillId="0" borderId="0" xfId="0" applyNumberFormat="1" applyFont="1"/>
    <xf numFmtId="7" fontId="13" fillId="0" borderId="0" xfId="0" applyNumberFormat="1" applyFont="1"/>
    <xf numFmtId="0" fontId="31" fillId="0" borderId="5" xfId="0" applyNumberFormat="1" applyFont="1" applyBorder="1" applyAlignment="1">
      <alignment vertical="center"/>
    </xf>
    <xf numFmtId="0" fontId="32" fillId="0" borderId="5" xfId="0" applyNumberFormat="1" applyFont="1" applyBorder="1" applyAlignment="1">
      <alignment vertical="center"/>
    </xf>
    <xf numFmtId="0" fontId="31" fillId="0" borderId="5" xfId="0" applyNumberFormat="1" applyFont="1" applyBorder="1" applyAlignment="1">
      <alignment horizontal="right" vertical="center"/>
    </xf>
    <xf numFmtId="0" fontId="31" fillId="0" borderId="37" xfId="0" applyNumberFormat="1" applyFont="1" applyBorder="1" applyAlignment="1">
      <alignment horizontal="center" vertical="center"/>
    </xf>
    <xf numFmtId="0" fontId="31" fillId="0" borderId="38" xfId="0" applyNumberFormat="1" applyFont="1" applyBorder="1" applyAlignment="1">
      <alignment horizontal="center" vertical="center"/>
    </xf>
    <xf numFmtId="0" fontId="32" fillId="0" borderId="38" xfId="0" applyNumberFormat="1" applyFont="1" applyBorder="1" applyAlignment="1">
      <alignment horizontal="center" vertical="center"/>
    </xf>
    <xf numFmtId="0" fontId="31" fillId="0" borderId="38" xfId="0" applyNumberFormat="1" applyFont="1" applyBorder="1" applyAlignment="1">
      <alignment horizontal="right" vertical="center"/>
    </xf>
    <xf numFmtId="0" fontId="24" fillId="0" borderId="20" xfId="0" applyFont="1" applyBorder="1" applyAlignment="1">
      <alignment horizontal="left"/>
    </xf>
    <xf numFmtId="0" fontId="13" fillId="0" borderId="39" xfId="0" applyFont="1" applyBorder="1" applyAlignment="1">
      <alignment horizontal="center"/>
    </xf>
    <xf numFmtId="0" fontId="27" fillId="0" borderId="39" xfId="0" applyFont="1" applyBorder="1" applyAlignment="1">
      <alignment horizontal="center"/>
    </xf>
    <xf numFmtId="180" fontId="24" fillId="0" borderId="20" xfId="0" applyNumberFormat="1" applyFont="1" applyBorder="1" applyAlignment="1">
      <alignment horizontal="center"/>
    </xf>
    <xf numFmtId="7" fontId="13" fillId="0" borderId="39" xfId="0" applyNumberFormat="1" applyFont="1" applyBorder="1" applyAlignment="1">
      <alignment horizontal="center"/>
    </xf>
    <xf numFmtId="0" fontId="24" fillId="0" borderId="39" xfId="0" applyFont="1" applyBorder="1" applyAlignment="1">
      <alignment horizontal="center"/>
    </xf>
    <xf numFmtId="180" fontId="24" fillId="0" borderId="39" xfId="0" applyNumberFormat="1" applyFont="1" applyBorder="1" applyAlignment="1">
      <alignment horizontal="center"/>
    </xf>
    <xf numFmtId="7" fontId="24" fillId="0" borderId="39" xfId="0" applyNumberFormat="1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0" fontId="31" fillId="0" borderId="41" xfId="0" applyNumberFormat="1" applyFont="1" applyBorder="1" applyAlignment="1">
      <alignment horizontal="center" vertical="center"/>
    </xf>
    <xf numFmtId="0" fontId="31" fillId="0" borderId="13" xfId="0" applyNumberFormat="1" applyFont="1" applyBorder="1" applyAlignment="1">
      <alignment horizontal="center" vertical="center"/>
    </xf>
    <xf numFmtId="0" fontId="32" fillId="0" borderId="13" xfId="0" applyNumberFormat="1" applyFont="1" applyBorder="1" applyAlignment="1">
      <alignment horizontal="center" vertical="center"/>
    </xf>
    <xf numFmtId="0" fontId="31" fillId="0" borderId="13" xfId="0" applyNumberFormat="1" applyFont="1" applyBorder="1" applyAlignment="1">
      <alignment vertical="center"/>
    </xf>
    <xf numFmtId="0" fontId="13" fillId="0" borderId="13" xfId="0" applyFont="1" applyBorder="1" applyAlignment="1">
      <alignment horizontal="left"/>
    </xf>
    <xf numFmtId="0" fontId="13" fillId="0" borderId="28" xfId="0" applyFont="1" applyBorder="1" applyAlignment="1">
      <alignment horizontal="center"/>
    </xf>
    <xf numFmtId="180" fontId="13" fillId="0" borderId="13" xfId="0" applyNumberFormat="1" applyFont="1" applyBorder="1" applyAlignment="1">
      <alignment horizontal="center"/>
    </xf>
    <xf numFmtId="7" fontId="13" fillId="0" borderId="28" xfId="0" applyNumberFormat="1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0" fillId="0" borderId="0" xfId="0" applyFont="1"/>
    <xf numFmtId="1" fontId="0" fillId="0" borderId="41" xfId="0" applyNumberFormat="1" applyFont="1" applyBorder="1" applyAlignment="1">
      <alignment horizontal="center" vertical="top"/>
    </xf>
    <xf numFmtId="1" fontId="0" fillId="0" borderId="13" xfId="0" applyNumberFormat="1" applyFont="1" applyBorder="1" applyAlignment="1">
      <alignment horizontal="center" vertical="top"/>
    </xf>
    <xf numFmtId="0" fontId="12" fillId="0" borderId="13" xfId="0" applyNumberFormat="1" applyFont="1" applyBorder="1" applyAlignment="1">
      <alignment horizontal="left" vertical="top" wrapText="1"/>
    </xf>
    <xf numFmtId="1" fontId="0" fillId="0" borderId="13" xfId="0" applyNumberFormat="1" applyFont="1" applyBorder="1" applyAlignment="1">
      <alignment vertical="top"/>
    </xf>
    <xf numFmtId="1" fontId="0" fillId="0" borderId="13" xfId="0" applyNumberFormat="1" applyFont="1" applyBorder="1" applyAlignment="1">
      <alignment horizontal="right" vertical="top"/>
    </xf>
    <xf numFmtId="0" fontId="0" fillId="0" borderId="13" xfId="0" applyNumberFormat="1" applyFont="1" applyBorder="1" applyAlignment="1">
      <alignment horizontal="left" vertical="top"/>
    </xf>
    <xf numFmtId="0" fontId="0" fillId="0" borderId="13" xfId="0" applyNumberFormat="1" applyFont="1" applyBorder="1" applyAlignment="1">
      <alignment horizontal="right" vertical="top"/>
    </xf>
    <xf numFmtId="0" fontId="24" fillId="0" borderId="13" xfId="0" applyFont="1" applyBorder="1" applyAlignment="1">
      <alignment horizontal="left"/>
    </xf>
    <xf numFmtId="180" fontId="13" fillId="0" borderId="33" xfId="0" applyNumberFormat="1" applyFont="1" applyBorder="1" applyAlignment="1">
      <alignment horizontal="center"/>
    </xf>
    <xf numFmtId="0" fontId="24" fillId="2" borderId="13" xfId="0" applyFont="1" applyFill="1" applyBorder="1" applyAlignment="1">
      <alignment horizontal="left"/>
    </xf>
    <xf numFmtId="180" fontId="13" fillId="2" borderId="33" xfId="0" applyNumberFormat="1" applyFont="1" applyFill="1" applyBorder="1" applyAlignment="1">
      <alignment horizontal="center"/>
    </xf>
    <xf numFmtId="7" fontId="13" fillId="2" borderId="13" xfId="0" applyNumberFormat="1" applyFont="1" applyFill="1" applyBorder="1" applyAlignment="1">
      <alignment horizontal="center"/>
    </xf>
    <xf numFmtId="0" fontId="12" fillId="3" borderId="13" xfId="0" applyNumberFormat="1" applyFont="1" applyFill="1" applyBorder="1" applyAlignment="1">
      <alignment horizontal="left" vertical="top" wrapText="1"/>
    </xf>
    <xf numFmtId="1" fontId="12" fillId="0" borderId="13" xfId="0" applyNumberFormat="1" applyFont="1" applyBorder="1" applyAlignment="1">
      <alignment horizontal="left" vertical="top" wrapText="1"/>
    </xf>
    <xf numFmtId="0" fontId="27" fillId="0" borderId="13" xfId="0" applyFont="1" applyBorder="1" applyAlignment="1">
      <alignment horizontal="center"/>
    </xf>
    <xf numFmtId="0" fontId="30" fillId="0" borderId="13" xfId="0" applyFont="1" applyBorder="1" applyAlignment="1">
      <alignment horizontal="center" vertical="center"/>
    </xf>
    <xf numFmtId="1" fontId="12" fillId="3" borderId="13" xfId="0" applyNumberFormat="1" applyFont="1" applyFill="1" applyBorder="1" applyAlignment="1">
      <alignment horizontal="left" vertical="top" wrapText="1"/>
    </xf>
    <xf numFmtId="0" fontId="13" fillId="0" borderId="13" xfId="0" applyFont="1" applyFill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33" fillId="0" borderId="13" xfId="0" applyNumberFormat="1" applyFont="1" applyBorder="1" applyAlignment="1">
      <alignment horizontal="left" vertical="top" wrapText="1"/>
    </xf>
    <xf numFmtId="0" fontId="29" fillId="0" borderId="13" xfId="0" applyFont="1" applyBorder="1" applyAlignment="1">
      <alignment horizontal="center"/>
    </xf>
    <xf numFmtId="0" fontId="34" fillId="0" borderId="13" xfId="0" applyFont="1" applyBorder="1" applyAlignment="1">
      <alignment horizontal="center"/>
    </xf>
    <xf numFmtId="0" fontId="35" fillId="0" borderId="13" xfId="0" applyFont="1" applyBorder="1" applyAlignment="1">
      <alignment horizontal="center"/>
    </xf>
    <xf numFmtId="180" fontId="29" fillId="0" borderId="33" xfId="0" applyNumberFormat="1" applyFont="1" applyBorder="1" applyAlignment="1">
      <alignment horizontal="center"/>
    </xf>
    <xf numFmtId="7" fontId="29" fillId="0" borderId="13" xfId="0" applyNumberFormat="1" applyFont="1" applyBorder="1" applyAlignment="1">
      <alignment horizontal="center"/>
    </xf>
    <xf numFmtId="0" fontId="36" fillId="0" borderId="13" xfId="0" applyFont="1" applyBorder="1" applyAlignment="1">
      <alignment horizontal="left" vertical="center"/>
    </xf>
    <xf numFmtId="0" fontId="30" fillId="2" borderId="13" xfId="0" applyFont="1" applyFill="1" applyBorder="1" applyAlignment="1">
      <alignment horizontal="center" vertical="center"/>
    </xf>
    <xf numFmtId="7" fontId="30" fillId="2" borderId="13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30" fillId="0" borderId="13" xfId="0" applyFont="1" applyBorder="1" applyAlignment="1">
      <alignment horizontal="left" vertical="center"/>
    </xf>
    <xf numFmtId="180" fontId="13" fillId="2" borderId="13" xfId="0" applyNumberFormat="1" applyFont="1" applyFill="1" applyBorder="1" applyAlignment="1">
      <alignment horizontal="center"/>
    </xf>
    <xf numFmtId="7" fontId="37" fillId="2" borderId="0" xfId="0" applyNumberFormat="1" applyFont="1" applyFill="1" applyAlignment="1">
      <alignment horizontal="center"/>
    </xf>
    <xf numFmtId="0" fontId="19" fillId="2" borderId="13" xfId="0" applyFont="1" applyFill="1" applyBorder="1" applyAlignment="1">
      <alignment horizontal="center"/>
    </xf>
    <xf numFmtId="7" fontId="13" fillId="4" borderId="13" xfId="0" applyNumberFormat="1" applyFont="1" applyFill="1" applyBorder="1" applyAlignment="1">
      <alignment horizontal="center"/>
    </xf>
    <xf numFmtId="7" fontId="27" fillId="0" borderId="13" xfId="0" applyNumberFormat="1" applyFont="1" applyBorder="1" applyAlignment="1">
      <alignment horizontal="center"/>
    </xf>
    <xf numFmtId="0" fontId="13" fillId="2" borderId="13" xfId="0" applyNumberFormat="1" applyFont="1" applyFill="1" applyBorder="1" applyAlignment="1">
      <alignment horizontal="center"/>
    </xf>
    <xf numFmtId="180" fontId="38" fillId="0" borderId="33" xfId="0" applyNumberFormat="1" applyFont="1" applyBorder="1" applyAlignment="1">
      <alignment horizontal="center"/>
    </xf>
    <xf numFmtId="7" fontId="38" fillId="0" borderId="13" xfId="0" applyNumberFormat="1" applyFont="1" applyBorder="1" applyAlignment="1">
      <alignment horizontal="center"/>
    </xf>
    <xf numFmtId="0" fontId="36" fillId="0" borderId="13" xfId="0" applyFont="1" applyBorder="1" applyAlignment="1">
      <alignment horizontal="center" vertical="center"/>
    </xf>
    <xf numFmtId="0" fontId="27" fillId="2" borderId="13" xfId="0" applyFont="1" applyFill="1" applyBorder="1" applyAlignment="1">
      <alignment horizontal="center"/>
    </xf>
    <xf numFmtId="7" fontId="24" fillId="0" borderId="13" xfId="0" applyNumberFormat="1" applyFont="1" applyBorder="1" applyAlignment="1">
      <alignment horizontal="center"/>
    </xf>
    <xf numFmtId="7" fontId="19" fillId="2" borderId="13" xfId="0" applyNumberFormat="1" applyFont="1" applyFill="1" applyBorder="1" applyAlignment="1">
      <alignment horizontal="center"/>
    </xf>
    <xf numFmtId="7" fontId="19" fillId="0" borderId="13" xfId="0" applyNumberFormat="1" applyFont="1" applyBorder="1" applyAlignment="1">
      <alignment horizontal="center"/>
    </xf>
    <xf numFmtId="1" fontId="0" fillId="0" borderId="42" xfId="0" applyNumberFormat="1" applyFont="1" applyBorder="1" applyAlignment="1">
      <alignment horizontal="center" vertical="top"/>
    </xf>
    <xf numFmtId="1" fontId="0" fillId="0" borderId="43" xfId="0" applyNumberFormat="1" applyFont="1" applyBorder="1" applyAlignment="1">
      <alignment horizontal="center" vertical="top"/>
    </xf>
    <xf numFmtId="1" fontId="12" fillId="0" borderId="43" xfId="0" applyNumberFormat="1" applyFont="1" applyBorder="1" applyAlignment="1">
      <alignment horizontal="left" vertical="top" wrapText="1"/>
    </xf>
    <xf numFmtId="0" fontId="12" fillId="0" borderId="43" xfId="0" applyNumberFormat="1" applyFont="1" applyBorder="1" applyAlignment="1">
      <alignment horizontal="left" vertical="top" wrapText="1"/>
    </xf>
    <xf numFmtId="1" fontId="0" fillId="0" borderId="43" xfId="0" applyNumberFormat="1" applyFont="1" applyBorder="1" applyAlignment="1">
      <alignment horizontal="right" vertical="top"/>
    </xf>
    <xf numFmtId="0" fontId="0" fillId="0" borderId="43" xfId="0" applyNumberFormat="1" applyFont="1" applyBorder="1" applyAlignment="1">
      <alignment horizontal="left" vertical="top"/>
    </xf>
    <xf numFmtId="0" fontId="0" fillId="0" borderId="43" xfId="0" applyNumberFormat="1" applyFont="1" applyBorder="1" applyAlignment="1">
      <alignment horizontal="right" vertical="top"/>
    </xf>
    <xf numFmtId="0" fontId="13" fillId="0" borderId="23" xfId="0" applyNumberFormat="1" applyFont="1" applyBorder="1" applyAlignment="1">
      <alignment horizontal="center"/>
    </xf>
    <xf numFmtId="0" fontId="13" fillId="0" borderId="5" xfId="0" applyFont="1" applyBorder="1"/>
    <xf numFmtId="0" fontId="12" fillId="0" borderId="5" xfId="0" applyFont="1" applyBorder="1"/>
    <xf numFmtId="0" fontId="13" fillId="0" borderId="5" xfId="0" applyFont="1" applyBorder="1" applyAlignment="1">
      <alignment horizontal="right"/>
    </xf>
    <xf numFmtId="0" fontId="39" fillId="0" borderId="5" xfId="0" applyNumberFormat="1" applyFont="1" applyBorder="1" applyAlignment="1">
      <alignment vertical="center"/>
    </xf>
    <xf numFmtId="0" fontId="40" fillId="0" borderId="37" xfId="0" applyNumberFormat="1" applyFont="1" applyBorder="1" applyAlignment="1">
      <alignment horizontal="center" vertical="center"/>
    </xf>
    <xf numFmtId="0" fontId="40" fillId="0" borderId="38" xfId="0" applyNumberFormat="1" applyFont="1" applyBorder="1" applyAlignment="1">
      <alignment horizontal="center" vertical="center"/>
    </xf>
    <xf numFmtId="0" fontId="40" fillId="0" borderId="44" xfId="0" applyNumberFormat="1" applyFont="1" applyBorder="1" applyAlignment="1">
      <alignment horizontal="center" vertical="center"/>
    </xf>
    <xf numFmtId="0" fontId="40" fillId="0" borderId="41" xfId="0" applyNumberFormat="1" applyFont="1" applyBorder="1" applyAlignment="1">
      <alignment horizontal="center" vertical="center"/>
    </xf>
    <xf numFmtId="0" fontId="40" fillId="0" borderId="13" xfId="0" applyNumberFormat="1" applyFont="1" applyBorder="1" applyAlignment="1">
      <alignment horizontal="center" vertical="center"/>
    </xf>
    <xf numFmtId="0" fontId="40" fillId="0" borderId="45" xfId="0" applyNumberFormat="1" applyFont="1" applyBorder="1" applyAlignment="1">
      <alignment horizontal="center" vertical="center"/>
    </xf>
    <xf numFmtId="0" fontId="0" fillId="0" borderId="13" xfId="0" applyNumberFormat="1" applyFont="1" applyBorder="1" applyAlignment="1">
      <alignment horizontal="left" vertical="top" wrapText="1"/>
    </xf>
    <xf numFmtId="0" fontId="0" fillId="0" borderId="45" xfId="0" applyNumberFormat="1" applyFont="1" applyBorder="1" applyAlignment="1">
      <alignment horizontal="right" vertical="top"/>
    </xf>
    <xf numFmtId="1" fontId="0" fillId="0" borderId="13" xfId="0" applyNumberFormat="1" applyFont="1" applyBorder="1" applyAlignment="1">
      <alignment horizontal="left" vertical="top" wrapText="1"/>
    </xf>
    <xf numFmtId="1" fontId="0" fillId="0" borderId="43" xfId="0" applyNumberFormat="1" applyFont="1" applyBorder="1" applyAlignment="1">
      <alignment horizontal="left" vertical="top" wrapText="1"/>
    </xf>
    <xf numFmtId="0" fontId="0" fillId="0" borderId="43" xfId="0" applyNumberFormat="1" applyFont="1" applyBorder="1" applyAlignment="1">
      <alignment horizontal="left" vertical="top" wrapText="1"/>
    </xf>
    <xf numFmtId="0" fontId="0" fillId="0" borderId="46" xfId="0" applyNumberFormat="1" applyFont="1" applyBorder="1" applyAlignment="1">
      <alignment horizontal="right" vertical="top"/>
    </xf>
    <xf numFmtId="0" fontId="0" fillId="0" borderId="5" xfId="0" applyFont="1" applyBorder="1"/>
    <xf numFmtId="176" fontId="5" fillId="0" borderId="11" xfId="0" applyNumberFormat="1" applyFont="1" applyFill="1" applyBorder="1" applyAlignment="1" applyProtection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BFBFBF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532765</xdr:colOff>
      <xdr:row>16</xdr:row>
      <xdr:rowOff>0</xdr:rowOff>
    </xdr:from>
    <xdr:to>
      <xdr:col>24</xdr:col>
      <xdr:colOff>676275</xdr:colOff>
      <xdr:row>29</xdr:row>
      <xdr:rowOff>179070</xdr:rowOff>
    </xdr:to>
    <xdr:pic>
      <xdr:nvPicPr>
        <xdr:cNvPr id="7225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668365" y="4044950"/>
          <a:ext cx="6830060" cy="3192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290195</xdr:colOff>
      <xdr:row>21</xdr:row>
      <xdr:rowOff>106045</xdr:rowOff>
    </xdr:from>
    <xdr:to>
      <xdr:col>16</xdr:col>
      <xdr:colOff>176530</xdr:colOff>
      <xdr:row>31</xdr:row>
      <xdr:rowOff>170180</xdr:rowOff>
    </xdr:to>
    <xdr:pic>
      <xdr:nvPicPr>
        <xdr:cNvPr id="7226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672320" y="5309870"/>
          <a:ext cx="7487285" cy="23818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0</xdr:row>
      <xdr:rowOff>261620</xdr:rowOff>
    </xdr:from>
    <xdr:to>
      <xdr:col>1</xdr:col>
      <xdr:colOff>1062355</xdr:colOff>
      <xdr:row>0</xdr:row>
      <xdr:rowOff>1013460</xdr:rowOff>
    </xdr:to>
    <xdr:pic>
      <xdr:nvPicPr>
        <xdr:cNvPr id="5" name="图片 4" descr="imag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" y="261620"/>
          <a:ext cx="1500505" cy="7518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xwechat_files\wxid_boj6dn8dpyu622_166a\msg\file\2025-09\&#26368;&#26032;&#31119;&#30000;&#31995;&#32479;&#29260;&#20215;-2025.5.17.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 refreshError="1">
        <row r="2">
          <cell r="B2">
            <v>5417353</v>
          </cell>
        </row>
        <row r="2">
          <cell r="D2" t="str">
            <v>ISG</v>
          </cell>
          <cell r="E2" t="str">
            <v>左排气摇臂</v>
          </cell>
          <cell r="F2">
            <v>393.9547</v>
          </cell>
        </row>
        <row r="3">
          <cell r="B3">
            <v>3695366</v>
          </cell>
        </row>
        <row r="3">
          <cell r="D3" t="str">
            <v>ISG</v>
          </cell>
          <cell r="E3" t="str">
            <v>左进气摇臂</v>
          </cell>
          <cell r="F3">
            <v>204.6139</v>
          </cell>
        </row>
        <row r="4">
          <cell r="B4">
            <v>5486334</v>
          </cell>
        </row>
        <row r="4">
          <cell r="D4" t="str">
            <v>ISG</v>
          </cell>
          <cell r="E4" t="str">
            <v>左进气摇臂</v>
          </cell>
          <cell r="F4">
            <v>204.6139</v>
          </cell>
        </row>
        <row r="5">
          <cell r="B5">
            <v>5575841</v>
          </cell>
        </row>
        <row r="5">
          <cell r="D5">
            <v>0</v>
          </cell>
          <cell r="E5" t="str">
            <v>自涨紧皮带</v>
          </cell>
          <cell r="F5">
            <v>43.06</v>
          </cell>
        </row>
        <row r="6">
          <cell r="B6">
            <v>5566757</v>
          </cell>
        </row>
        <row r="6">
          <cell r="D6" t="str">
            <v>ISF2.8</v>
          </cell>
          <cell r="E6" t="str">
            <v>自张紧皮带</v>
          </cell>
          <cell r="F6">
            <v>31.93</v>
          </cell>
        </row>
        <row r="7">
          <cell r="B7">
            <v>5521778</v>
          </cell>
        </row>
        <row r="7">
          <cell r="D7" t="str">
            <v>ISF2.8</v>
          </cell>
          <cell r="E7" t="str">
            <v>转速信号轮</v>
          </cell>
          <cell r="F7">
            <v>32.7</v>
          </cell>
        </row>
        <row r="8">
          <cell r="B8">
            <v>5267993</v>
          </cell>
        </row>
        <row r="8">
          <cell r="D8" t="str">
            <v>ISF2.8</v>
          </cell>
          <cell r="E8" t="str">
            <v>转速信号轮</v>
          </cell>
          <cell r="F8">
            <v>30.9978</v>
          </cell>
        </row>
        <row r="9">
          <cell r="B9">
            <v>3955069</v>
          </cell>
        </row>
        <row r="9">
          <cell r="D9" t="str">
            <v>ISG</v>
          </cell>
          <cell r="E9" t="str">
            <v>转速信号轮</v>
          </cell>
          <cell r="F9">
            <v>35.6796</v>
          </cell>
        </row>
        <row r="10">
          <cell r="B10">
            <v>3979031</v>
          </cell>
        </row>
        <row r="10">
          <cell r="D10" t="str">
            <v>ISF3.8</v>
          </cell>
          <cell r="E10" t="str">
            <v>转接盘密封垫</v>
          </cell>
          <cell r="F10">
            <v>17.3196</v>
          </cell>
        </row>
        <row r="11">
          <cell r="B11">
            <v>5302808</v>
          </cell>
        </row>
        <row r="11">
          <cell r="D11" t="str">
            <v>ISF4.5</v>
          </cell>
          <cell r="E11" t="str">
            <v>转接螺堵</v>
          </cell>
          <cell r="F11">
            <v>16.36</v>
          </cell>
        </row>
        <row r="12">
          <cell r="B12">
            <v>5417293</v>
          </cell>
        </row>
        <row r="12">
          <cell r="D12" t="str">
            <v>ISG</v>
          </cell>
          <cell r="E12" t="str">
            <v>主轴瓦(下)</v>
          </cell>
          <cell r="F12">
            <v>38.4642</v>
          </cell>
        </row>
        <row r="13">
          <cell r="B13">
            <v>5417292</v>
          </cell>
        </row>
        <row r="13">
          <cell r="D13" t="str">
            <v>ISG</v>
          </cell>
          <cell r="E13" t="str">
            <v>主轴瓦(上)</v>
          </cell>
          <cell r="F13">
            <v>39.4893</v>
          </cell>
        </row>
        <row r="14">
          <cell r="B14">
            <v>5344833</v>
          </cell>
        </row>
        <row r="14">
          <cell r="D14" t="str">
            <v>ISF3.8</v>
          </cell>
          <cell r="E14" t="str">
            <v>主轴瓦</v>
          </cell>
          <cell r="F14">
            <v>39.5811</v>
          </cell>
        </row>
        <row r="15">
          <cell r="B15">
            <v>5344834</v>
          </cell>
        </row>
        <row r="15">
          <cell r="D15" t="str">
            <v>ISF3.8</v>
          </cell>
          <cell r="E15" t="str">
            <v>主轴瓦</v>
          </cell>
          <cell r="F15">
            <v>34.0272</v>
          </cell>
        </row>
        <row r="16">
          <cell r="B16">
            <v>5364703</v>
          </cell>
        </row>
        <row r="16">
          <cell r="D16" t="str">
            <v>ISF2.8</v>
          </cell>
          <cell r="E16" t="str">
            <v>主轴瓦</v>
          </cell>
          <cell r="F16">
            <v>8.22</v>
          </cell>
        </row>
        <row r="17">
          <cell r="B17">
            <v>5364704</v>
          </cell>
        </row>
        <row r="17">
          <cell r="D17" t="str">
            <v>ISF2.8</v>
          </cell>
          <cell r="E17" t="str">
            <v>主轴瓦</v>
          </cell>
          <cell r="F17">
            <v>7.54</v>
          </cell>
        </row>
        <row r="18">
          <cell r="B18">
            <v>4996250</v>
          </cell>
        </row>
        <row r="18">
          <cell r="D18" t="str">
            <v>ISF2.8</v>
          </cell>
          <cell r="E18" t="str">
            <v>主轴瓦</v>
          </cell>
          <cell r="F18">
            <v>7.52</v>
          </cell>
        </row>
        <row r="19">
          <cell r="B19">
            <v>4946030</v>
          </cell>
        </row>
        <row r="19">
          <cell r="D19" t="str">
            <v>ISF2.8</v>
          </cell>
          <cell r="E19" t="str">
            <v>主轴瓦</v>
          </cell>
          <cell r="F19">
            <v>6.9</v>
          </cell>
        </row>
        <row r="20">
          <cell r="B20">
            <v>4932260</v>
          </cell>
        </row>
        <row r="20">
          <cell r="D20">
            <v>0</v>
          </cell>
          <cell r="E20" t="str">
            <v>主轴承盖</v>
          </cell>
          <cell r="F20">
            <v>60.12</v>
          </cell>
        </row>
        <row r="21">
          <cell r="B21">
            <v>4932258</v>
          </cell>
        </row>
        <row r="21">
          <cell r="D21" t="str">
            <v>ISF2.8</v>
          </cell>
          <cell r="E21" t="str">
            <v>主轴承盖</v>
          </cell>
          <cell r="F21">
            <v>57.68</v>
          </cell>
        </row>
        <row r="22">
          <cell r="B22">
            <v>5528084</v>
          </cell>
        </row>
        <row r="22">
          <cell r="D22" t="str">
            <v>ISF2.8</v>
          </cell>
          <cell r="E22" t="str">
            <v>主轴承盖</v>
          </cell>
          <cell r="F22">
            <v>34.3944</v>
          </cell>
        </row>
        <row r="23">
          <cell r="B23">
            <v>3697967</v>
          </cell>
        </row>
        <row r="23">
          <cell r="D23" t="str">
            <v>ISG</v>
          </cell>
          <cell r="E23" t="str">
            <v>轴承支架</v>
          </cell>
          <cell r="F23">
            <v>1108.24</v>
          </cell>
        </row>
        <row r="24">
          <cell r="B24">
            <v>3697966</v>
          </cell>
        </row>
        <row r="24">
          <cell r="D24" t="str">
            <v>ISG</v>
          </cell>
          <cell r="E24" t="str">
            <v>轴承支架</v>
          </cell>
          <cell r="F24">
            <v>1028.38</v>
          </cell>
        </row>
        <row r="25">
          <cell r="B25">
            <v>3697968</v>
          </cell>
        </row>
        <row r="25">
          <cell r="D25" t="str">
            <v>ISG</v>
          </cell>
          <cell r="E25" t="str">
            <v>轴承支架</v>
          </cell>
          <cell r="F25">
            <v>371.93</v>
          </cell>
        </row>
        <row r="26">
          <cell r="B26">
            <v>3697965</v>
          </cell>
        </row>
        <row r="26">
          <cell r="D26" t="str">
            <v>ISG</v>
          </cell>
          <cell r="E26" t="str">
            <v>轴承支架</v>
          </cell>
          <cell r="F26">
            <v>134.32</v>
          </cell>
        </row>
        <row r="27">
          <cell r="B27">
            <v>3692176</v>
          </cell>
        </row>
        <row r="27">
          <cell r="D27">
            <v>0</v>
          </cell>
          <cell r="E27" t="str">
            <v>轴承支架</v>
          </cell>
          <cell r="F27">
            <v>98.25</v>
          </cell>
        </row>
        <row r="28">
          <cell r="B28">
            <v>3696577</v>
          </cell>
        </row>
        <row r="28">
          <cell r="D28">
            <v>0</v>
          </cell>
          <cell r="E28" t="str">
            <v>轴承支架</v>
          </cell>
          <cell r="F28">
            <v>53.82</v>
          </cell>
        </row>
        <row r="29">
          <cell r="B29" t="str">
            <v>C3978822</v>
          </cell>
        </row>
        <row r="29">
          <cell r="D29" t="str">
            <v>ISF2.8</v>
          </cell>
          <cell r="E29" t="str">
            <v>止推瓦</v>
          </cell>
          <cell r="F29">
            <v>55.7226</v>
          </cell>
        </row>
        <row r="30">
          <cell r="B30">
            <v>3698353</v>
          </cell>
        </row>
        <row r="30">
          <cell r="D30" t="str">
            <v>ISG</v>
          </cell>
          <cell r="E30" t="str">
            <v>直通接头</v>
          </cell>
          <cell r="F30">
            <v>12.44</v>
          </cell>
        </row>
        <row r="31">
          <cell r="B31">
            <v>4943958</v>
          </cell>
        </row>
        <row r="31">
          <cell r="D31" t="str">
            <v>ISF3.8</v>
          </cell>
          <cell r="E31" t="str">
            <v>直软管接头</v>
          </cell>
          <cell r="F31">
            <v>19</v>
          </cell>
        </row>
        <row r="32">
          <cell r="B32">
            <v>5305342</v>
          </cell>
        </row>
        <row r="32">
          <cell r="D32" t="str">
            <v>ISF4.5</v>
          </cell>
          <cell r="E32" t="str">
            <v>直软管接头</v>
          </cell>
          <cell r="F32">
            <v>18.432</v>
          </cell>
        </row>
        <row r="33">
          <cell r="B33">
            <v>5365722</v>
          </cell>
        </row>
        <row r="33">
          <cell r="D33" t="str">
            <v>ISF4.5</v>
          </cell>
          <cell r="E33" t="str">
            <v>直软管接头</v>
          </cell>
          <cell r="F33">
            <v>11.54</v>
          </cell>
        </row>
        <row r="34">
          <cell r="B34">
            <v>3966859</v>
          </cell>
        </row>
        <row r="34">
          <cell r="D34" t="str">
            <v>ISF4.5</v>
          </cell>
          <cell r="E34" t="str">
            <v>直软管接头</v>
          </cell>
          <cell r="F34">
            <v>6.92</v>
          </cell>
        </row>
        <row r="35">
          <cell r="B35">
            <v>5347756</v>
          </cell>
        </row>
        <row r="35">
          <cell r="D35" t="str">
            <v>ISF4.5</v>
          </cell>
          <cell r="E35" t="str">
            <v>直软管</v>
          </cell>
          <cell r="F35">
            <v>116.91</v>
          </cell>
        </row>
        <row r="36">
          <cell r="B36">
            <v>5282381</v>
          </cell>
        </row>
        <row r="36">
          <cell r="D36" t="str">
            <v>ISF3.8</v>
          </cell>
          <cell r="E36" t="str">
            <v>直软管</v>
          </cell>
          <cell r="F36">
            <v>59.0733</v>
          </cell>
        </row>
        <row r="37">
          <cell r="B37">
            <v>3698289</v>
          </cell>
        </row>
        <row r="37">
          <cell r="D37" t="str">
            <v>ISG</v>
          </cell>
          <cell r="E37" t="str">
            <v>直软管</v>
          </cell>
          <cell r="F37">
            <v>50.3523</v>
          </cell>
        </row>
        <row r="38">
          <cell r="B38">
            <v>5371072</v>
          </cell>
        </row>
        <row r="38">
          <cell r="D38">
            <v>0</v>
          </cell>
          <cell r="E38" t="str">
            <v>直软管</v>
          </cell>
          <cell r="F38">
            <v>35.38</v>
          </cell>
        </row>
        <row r="39">
          <cell r="B39">
            <v>3012364</v>
          </cell>
        </row>
        <row r="39">
          <cell r="D39">
            <v>0</v>
          </cell>
          <cell r="E39" t="str">
            <v>直软管</v>
          </cell>
          <cell r="F39">
            <v>31.16</v>
          </cell>
        </row>
        <row r="40">
          <cell r="B40">
            <v>5263842</v>
          </cell>
        </row>
        <row r="40">
          <cell r="D40">
            <v>0</v>
          </cell>
          <cell r="E40" t="str">
            <v>直软管</v>
          </cell>
          <cell r="F40">
            <v>21.45</v>
          </cell>
        </row>
        <row r="41">
          <cell r="B41">
            <v>5486593</v>
          </cell>
        </row>
        <row r="41">
          <cell r="D41">
            <v>0</v>
          </cell>
          <cell r="E41" t="str">
            <v>直软管</v>
          </cell>
          <cell r="F41">
            <v>20.13</v>
          </cell>
        </row>
        <row r="42">
          <cell r="B42">
            <v>5289857</v>
          </cell>
        </row>
        <row r="42">
          <cell r="D42" t="str">
            <v>ISF2.8/3.8</v>
          </cell>
          <cell r="E42" t="str">
            <v>直软管</v>
          </cell>
          <cell r="F42">
            <v>14.14</v>
          </cell>
        </row>
        <row r="43">
          <cell r="B43">
            <v>3254027</v>
          </cell>
        </row>
        <row r="43">
          <cell r="D43" t="str">
            <v>ISG</v>
          </cell>
          <cell r="E43" t="str">
            <v>直软管</v>
          </cell>
          <cell r="F43">
            <v>16.1721</v>
          </cell>
        </row>
        <row r="44">
          <cell r="B44">
            <v>5402586</v>
          </cell>
        </row>
        <row r="44">
          <cell r="D44" t="str">
            <v>ISF3.8</v>
          </cell>
          <cell r="E44" t="str">
            <v>直软管</v>
          </cell>
          <cell r="F44">
            <v>12.5</v>
          </cell>
        </row>
        <row r="45">
          <cell r="B45">
            <v>5272351</v>
          </cell>
        </row>
        <row r="45">
          <cell r="D45">
            <v>0</v>
          </cell>
          <cell r="E45" t="str">
            <v>直软管</v>
          </cell>
          <cell r="F45">
            <v>11.32</v>
          </cell>
        </row>
        <row r="46">
          <cell r="B46">
            <v>3056138</v>
          </cell>
        </row>
        <row r="46">
          <cell r="D46" t="str">
            <v>ISG</v>
          </cell>
          <cell r="E46" t="str">
            <v>直软管</v>
          </cell>
          <cell r="F46">
            <v>15.5</v>
          </cell>
        </row>
        <row r="47">
          <cell r="B47">
            <v>5340699</v>
          </cell>
        </row>
        <row r="47">
          <cell r="D47" t="str">
            <v>ISF2.8</v>
          </cell>
          <cell r="E47" t="str">
            <v>执行器盖</v>
          </cell>
          <cell r="F47">
            <v>27.5553</v>
          </cell>
        </row>
        <row r="48">
          <cell r="B48">
            <v>5614257</v>
          </cell>
        </row>
        <row r="48">
          <cell r="D48">
            <v>0</v>
          </cell>
          <cell r="E48" t="str">
            <v>支架支撑</v>
          </cell>
          <cell r="F48">
            <v>83.2</v>
          </cell>
        </row>
        <row r="49">
          <cell r="B49">
            <v>5684924</v>
          </cell>
        </row>
        <row r="49">
          <cell r="D49">
            <v>0</v>
          </cell>
          <cell r="E49" t="str">
            <v>支架</v>
          </cell>
          <cell r="F49">
            <v>126.36</v>
          </cell>
        </row>
        <row r="50">
          <cell r="B50">
            <v>5669139</v>
          </cell>
        </row>
        <row r="50">
          <cell r="D50">
            <v>0</v>
          </cell>
          <cell r="E50" t="str">
            <v>支架</v>
          </cell>
          <cell r="F50">
            <v>103.71</v>
          </cell>
        </row>
        <row r="51">
          <cell r="B51">
            <v>5613838</v>
          </cell>
        </row>
        <row r="51">
          <cell r="D51">
            <v>0</v>
          </cell>
          <cell r="E51" t="str">
            <v>支撑附件总成</v>
          </cell>
          <cell r="F51">
            <v>134.91</v>
          </cell>
        </row>
        <row r="52">
          <cell r="B52">
            <v>5311397</v>
          </cell>
        </row>
        <row r="52">
          <cell r="D52" t="str">
            <v>ISF3.8</v>
          </cell>
          <cell r="E52" t="str">
            <v>正时销座</v>
          </cell>
          <cell r="F52">
            <v>17.5491</v>
          </cell>
        </row>
        <row r="53">
          <cell r="B53">
            <v>5312105</v>
          </cell>
        </row>
        <row r="53">
          <cell r="D53" t="str">
            <v>ISF3.8</v>
          </cell>
          <cell r="E53" t="str">
            <v>正时销</v>
          </cell>
          <cell r="F53">
            <v>12.29</v>
          </cell>
        </row>
        <row r="54">
          <cell r="B54">
            <v>3287893</v>
          </cell>
        </row>
        <row r="54">
          <cell r="D54" t="str">
            <v>ISF3.8</v>
          </cell>
          <cell r="E54" t="str">
            <v>正六角螺母</v>
          </cell>
          <cell r="F54">
            <v>4.76</v>
          </cell>
        </row>
        <row r="55">
          <cell r="B55">
            <v>3818824</v>
          </cell>
        </row>
        <row r="55">
          <cell r="D55" t="str">
            <v>ISF3.8</v>
          </cell>
          <cell r="E55" t="str">
            <v>正六角螺母</v>
          </cell>
          <cell r="F55">
            <v>4.48</v>
          </cell>
        </row>
        <row r="56">
          <cell r="B56">
            <v>2871345</v>
          </cell>
        </row>
        <row r="56">
          <cell r="D56" t="str">
            <v>ISF2.8</v>
          </cell>
          <cell r="E56" t="str">
            <v>正六角螺母</v>
          </cell>
          <cell r="F56">
            <v>1.85</v>
          </cell>
        </row>
        <row r="57">
          <cell r="B57">
            <v>3163708</v>
          </cell>
        </row>
        <row r="57">
          <cell r="D57" t="str">
            <v>ISF2.8</v>
          </cell>
          <cell r="E57" t="str">
            <v>正六角螺母</v>
          </cell>
          <cell r="F57">
            <v>1.64</v>
          </cell>
        </row>
        <row r="58">
          <cell r="B58">
            <v>3093867</v>
          </cell>
        </row>
        <row r="58">
          <cell r="D58">
            <v>0</v>
          </cell>
          <cell r="E58" t="str">
            <v>正六角螺母</v>
          </cell>
          <cell r="F58">
            <v>0.77</v>
          </cell>
        </row>
        <row r="59">
          <cell r="B59">
            <v>3044360</v>
          </cell>
        </row>
        <row r="59">
          <cell r="D59">
            <v>0</v>
          </cell>
          <cell r="E59" t="str">
            <v>正六角螺母</v>
          </cell>
          <cell r="F59">
            <v>0.65</v>
          </cell>
        </row>
        <row r="60">
          <cell r="B60">
            <v>5264426</v>
          </cell>
        </row>
        <row r="60">
          <cell r="D60" t="str">
            <v>ISF2.8</v>
          </cell>
          <cell r="E60" t="str">
            <v>真空泵密封垫</v>
          </cell>
          <cell r="F60">
            <v>19.15</v>
          </cell>
        </row>
        <row r="61">
          <cell r="B61">
            <v>5530422</v>
          </cell>
        </row>
        <row r="61">
          <cell r="D61" t="str">
            <v>ISF2.8</v>
          </cell>
          <cell r="E61" t="str">
            <v>真空泵密封垫</v>
          </cell>
          <cell r="F61">
            <v>15.32</v>
          </cell>
        </row>
        <row r="62">
          <cell r="B62">
            <v>6315720</v>
          </cell>
          <cell r="C62">
            <v>5480753</v>
          </cell>
          <cell r="D62" t="str">
            <v>ISG</v>
          </cell>
          <cell r="E62" t="str">
            <v>真空泵</v>
          </cell>
          <cell r="F62">
            <v>2390.39</v>
          </cell>
        </row>
        <row r="63">
          <cell r="B63">
            <v>5475343</v>
          </cell>
        </row>
        <row r="63">
          <cell r="D63" t="str">
            <v>ISF2.8</v>
          </cell>
          <cell r="E63" t="str">
            <v>真空泵</v>
          </cell>
          <cell r="F63">
            <v>364.31</v>
          </cell>
        </row>
        <row r="64">
          <cell r="B64">
            <v>5282085</v>
          </cell>
        </row>
        <row r="64">
          <cell r="D64" t="str">
            <v>ISF2.8</v>
          </cell>
          <cell r="E64" t="str">
            <v>真空泵</v>
          </cell>
          <cell r="F64">
            <v>345.9</v>
          </cell>
        </row>
        <row r="65">
          <cell r="B65">
            <v>5289700</v>
          </cell>
        </row>
        <row r="65">
          <cell r="D65" t="str">
            <v>ISF2.8</v>
          </cell>
          <cell r="E65" t="str">
            <v>增压器支架</v>
          </cell>
          <cell r="F65">
            <v>21.2</v>
          </cell>
        </row>
        <row r="66">
          <cell r="B66">
            <v>5685436</v>
          </cell>
        </row>
        <row r="66">
          <cell r="D66">
            <v>0</v>
          </cell>
          <cell r="E66" t="str">
            <v>增压器密封垫</v>
          </cell>
          <cell r="F66">
            <v>604.1</v>
          </cell>
        </row>
        <row r="67">
          <cell r="B67">
            <v>5714763</v>
          </cell>
        </row>
        <row r="67">
          <cell r="D67" t="str">
            <v>ISG</v>
          </cell>
          <cell r="E67" t="str">
            <v>增压器密封垫</v>
          </cell>
          <cell r="F67">
            <v>189.2304</v>
          </cell>
        </row>
        <row r="68">
          <cell r="B68">
            <v>5582063</v>
          </cell>
        </row>
        <row r="68">
          <cell r="D68" t="str">
            <v>ISG</v>
          </cell>
          <cell r="E68" t="str">
            <v>增压器密封垫</v>
          </cell>
          <cell r="F68">
            <v>121.5585</v>
          </cell>
        </row>
        <row r="69">
          <cell r="B69">
            <v>5621559</v>
          </cell>
        </row>
        <row r="69">
          <cell r="D69">
            <v>0</v>
          </cell>
          <cell r="E69" t="str">
            <v>增压器密封垫</v>
          </cell>
          <cell r="F69">
            <v>20.34</v>
          </cell>
        </row>
        <row r="70">
          <cell r="B70">
            <v>5303597</v>
          </cell>
        </row>
        <row r="70">
          <cell r="D70" t="str">
            <v>ISF3.8</v>
          </cell>
          <cell r="E70" t="str">
            <v>增压器密封垫</v>
          </cell>
          <cell r="F70">
            <v>20.322</v>
          </cell>
        </row>
        <row r="71">
          <cell r="B71">
            <v>5562093</v>
          </cell>
        </row>
        <row r="71">
          <cell r="D71" t="str">
            <v>ISF3.8</v>
          </cell>
          <cell r="E71" t="str">
            <v>增压器密封垫</v>
          </cell>
          <cell r="F71">
            <v>21.0681</v>
          </cell>
        </row>
        <row r="72">
          <cell r="B72">
            <v>5614795</v>
          </cell>
        </row>
        <row r="72">
          <cell r="D72" t="str">
            <v>ISG</v>
          </cell>
          <cell r="E72" t="str">
            <v>增压器密封垫</v>
          </cell>
          <cell r="F72">
            <v>9.66</v>
          </cell>
        </row>
        <row r="73">
          <cell r="B73">
            <v>3932475</v>
          </cell>
        </row>
        <row r="73">
          <cell r="D73" t="str">
            <v>ISF2.8/3.8</v>
          </cell>
          <cell r="E73" t="str">
            <v>增压器密封垫</v>
          </cell>
          <cell r="F73">
            <v>5.92</v>
          </cell>
        </row>
        <row r="74">
          <cell r="B74">
            <v>5581679</v>
          </cell>
        </row>
        <row r="74">
          <cell r="D74" t="str">
            <v>ISG</v>
          </cell>
          <cell r="E74" t="str">
            <v>增压器冷却液管</v>
          </cell>
          <cell r="F74">
            <v>80.631</v>
          </cell>
        </row>
        <row r="75">
          <cell r="B75">
            <v>5582263</v>
          </cell>
        </row>
        <row r="75">
          <cell r="D75">
            <v>0</v>
          </cell>
          <cell r="E75" t="str">
            <v>增压器冷却液管</v>
          </cell>
          <cell r="F75">
            <v>62.21</v>
          </cell>
        </row>
        <row r="76">
          <cell r="B76">
            <v>5274345</v>
          </cell>
        </row>
        <row r="76">
          <cell r="D76" t="str">
            <v>ISF2.8</v>
          </cell>
          <cell r="E76" t="str">
            <v>增压器冷却液管</v>
          </cell>
          <cell r="F76">
            <v>48.92</v>
          </cell>
        </row>
        <row r="77">
          <cell r="B77">
            <v>5303069</v>
          </cell>
        </row>
        <row r="77">
          <cell r="D77" t="str">
            <v>ISF4.5</v>
          </cell>
          <cell r="E77" t="str">
            <v>增压器冷却液管</v>
          </cell>
          <cell r="F77">
            <v>44.88</v>
          </cell>
        </row>
        <row r="78">
          <cell r="B78">
            <v>5564602</v>
          </cell>
        </row>
        <row r="78">
          <cell r="D78" t="str">
            <v>ISF3.8</v>
          </cell>
          <cell r="E78" t="str">
            <v>增压器冷却液管</v>
          </cell>
          <cell r="F78">
            <v>42.8</v>
          </cell>
        </row>
        <row r="79">
          <cell r="B79">
            <v>5377782</v>
          </cell>
        </row>
        <row r="79">
          <cell r="D79">
            <v>0</v>
          </cell>
          <cell r="E79" t="str">
            <v>增压器冷却管路</v>
          </cell>
          <cell r="F79">
            <v>90.01</v>
          </cell>
        </row>
        <row r="80">
          <cell r="B80">
            <v>5661526</v>
          </cell>
        </row>
        <row r="80">
          <cell r="D80">
            <v>0</v>
          </cell>
          <cell r="E80" t="str">
            <v>增压器冷却管路</v>
          </cell>
          <cell r="F80">
            <v>90.01</v>
          </cell>
        </row>
        <row r="81">
          <cell r="B81">
            <v>3697731</v>
          </cell>
        </row>
        <row r="81">
          <cell r="D81">
            <v>0</v>
          </cell>
          <cell r="E81" t="str">
            <v>增压器进油管</v>
          </cell>
          <cell r="F81">
            <v>200.82</v>
          </cell>
        </row>
        <row r="82">
          <cell r="B82">
            <v>3697730</v>
          </cell>
        </row>
        <row r="82">
          <cell r="D82">
            <v>0</v>
          </cell>
          <cell r="E82" t="str">
            <v>增压器进油管</v>
          </cell>
          <cell r="F82">
            <v>187.46</v>
          </cell>
        </row>
        <row r="83">
          <cell r="B83">
            <v>5581678</v>
          </cell>
        </row>
        <row r="83">
          <cell r="D83" t="str">
            <v>ISG</v>
          </cell>
          <cell r="E83" t="str">
            <v>增压器进油管</v>
          </cell>
          <cell r="F83">
            <v>138.006</v>
          </cell>
        </row>
        <row r="84">
          <cell r="B84">
            <v>3692479</v>
          </cell>
        </row>
        <row r="84">
          <cell r="D84" t="str">
            <v>ISG</v>
          </cell>
          <cell r="E84" t="str">
            <v>增压器进油管</v>
          </cell>
          <cell r="F84">
            <v>134.1963</v>
          </cell>
        </row>
        <row r="85">
          <cell r="B85">
            <v>5377786</v>
          </cell>
        </row>
        <row r="85">
          <cell r="D85" t="str">
            <v>ISG</v>
          </cell>
          <cell r="E85" t="str">
            <v>增压器进油管</v>
          </cell>
          <cell r="F85">
            <v>89.7</v>
          </cell>
        </row>
        <row r="86">
          <cell r="B86">
            <v>5661529</v>
          </cell>
        </row>
        <row r="86">
          <cell r="D86">
            <v>0</v>
          </cell>
          <cell r="E86" t="str">
            <v>增压器回油管接头</v>
          </cell>
          <cell r="F86">
            <v>167.08</v>
          </cell>
        </row>
        <row r="87">
          <cell r="B87">
            <v>5614427</v>
          </cell>
        </row>
        <row r="87">
          <cell r="D87" t="str">
            <v>ISG</v>
          </cell>
          <cell r="E87" t="str">
            <v>增压器回油管</v>
          </cell>
          <cell r="F87">
            <v>210.2067</v>
          </cell>
        </row>
        <row r="88">
          <cell r="B88">
            <v>5575092</v>
          </cell>
        </row>
        <row r="88">
          <cell r="D88">
            <v>0</v>
          </cell>
          <cell r="E88" t="str">
            <v>增压器回油管</v>
          </cell>
          <cell r="F88">
            <v>160.33</v>
          </cell>
        </row>
        <row r="89">
          <cell r="B89">
            <v>5292324</v>
          </cell>
        </row>
        <row r="89">
          <cell r="D89" t="str">
            <v>ISF2.8</v>
          </cell>
          <cell r="E89" t="str">
            <v>增压器回油管</v>
          </cell>
          <cell r="F89">
            <v>142.29</v>
          </cell>
        </row>
        <row r="90">
          <cell r="B90">
            <v>5335055</v>
          </cell>
        </row>
        <row r="90">
          <cell r="D90" t="str">
            <v>ISF4.5</v>
          </cell>
          <cell r="E90" t="str">
            <v>增压器回油管</v>
          </cell>
          <cell r="F90">
            <v>135.5</v>
          </cell>
        </row>
        <row r="91">
          <cell r="B91">
            <v>3698091</v>
          </cell>
        </row>
        <row r="91">
          <cell r="D91">
            <v>0</v>
          </cell>
          <cell r="E91" t="str">
            <v>增压器回油管</v>
          </cell>
          <cell r="F91">
            <v>104.32</v>
          </cell>
        </row>
        <row r="92">
          <cell r="B92">
            <v>5295993</v>
          </cell>
        </row>
        <row r="92">
          <cell r="D92" t="str">
            <v>ISF3.8</v>
          </cell>
          <cell r="E92" t="str">
            <v>增压器回油管</v>
          </cell>
          <cell r="F92">
            <v>105.57</v>
          </cell>
        </row>
        <row r="93">
          <cell r="B93">
            <v>5265251</v>
          </cell>
        </row>
        <row r="93">
          <cell r="D93" t="str">
            <v>ISF2.8/3.8</v>
          </cell>
          <cell r="E93" t="str">
            <v>增压器回油管</v>
          </cell>
          <cell r="F93">
            <v>95.7015</v>
          </cell>
        </row>
        <row r="94">
          <cell r="B94">
            <v>3698252</v>
          </cell>
        </row>
        <row r="94">
          <cell r="D94">
            <v>0</v>
          </cell>
          <cell r="E94" t="str">
            <v>增压器回油管</v>
          </cell>
          <cell r="F94">
            <v>88.84</v>
          </cell>
        </row>
        <row r="95">
          <cell r="B95">
            <v>5342941</v>
          </cell>
        </row>
        <row r="95">
          <cell r="D95" t="str">
            <v>ISF2.8</v>
          </cell>
          <cell r="E95" t="str">
            <v>增压器回油管</v>
          </cell>
          <cell r="F95">
            <v>82.14</v>
          </cell>
        </row>
        <row r="96">
          <cell r="B96">
            <v>5590090</v>
          </cell>
        </row>
        <row r="96">
          <cell r="D96" t="str">
            <v>ISF3.8</v>
          </cell>
          <cell r="E96" t="str">
            <v>增压器回油管</v>
          </cell>
          <cell r="F96">
            <v>78.08</v>
          </cell>
        </row>
        <row r="97">
          <cell r="B97">
            <v>3697735</v>
          </cell>
        </row>
        <row r="97">
          <cell r="D97">
            <v>0</v>
          </cell>
          <cell r="E97" t="str">
            <v>增压器回油管</v>
          </cell>
          <cell r="F97">
            <v>66.34</v>
          </cell>
        </row>
        <row r="98">
          <cell r="B98">
            <v>5295994</v>
          </cell>
        </row>
        <row r="98">
          <cell r="D98" t="str">
            <v>ISF2.8</v>
          </cell>
          <cell r="E98" t="str">
            <v>增压器回油管</v>
          </cell>
          <cell r="F98">
            <v>66.1</v>
          </cell>
        </row>
        <row r="99">
          <cell r="B99">
            <v>3287818</v>
          </cell>
        </row>
        <row r="99">
          <cell r="D99" t="str">
            <v>ISF3.8</v>
          </cell>
          <cell r="E99" t="str">
            <v>增压器回油管</v>
          </cell>
          <cell r="F99">
            <v>65.3922</v>
          </cell>
        </row>
        <row r="100">
          <cell r="B100">
            <v>5362019</v>
          </cell>
        </row>
        <row r="100">
          <cell r="D100" t="str">
            <v>ISF3.8</v>
          </cell>
          <cell r="E100" t="str">
            <v>增压器回油管</v>
          </cell>
          <cell r="F100">
            <v>64.0152</v>
          </cell>
        </row>
        <row r="101">
          <cell r="B101">
            <v>5257527</v>
          </cell>
        </row>
        <row r="101">
          <cell r="D101" t="str">
            <v>ISF3.8</v>
          </cell>
          <cell r="E101" t="str">
            <v>增压器回油管</v>
          </cell>
          <cell r="F101">
            <v>57.53</v>
          </cell>
        </row>
        <row r="102">
          <cell r="B102">
            <v>5446642</v>
          </cell>
        </row>
        <row r="102">
          <cell r="D102" t="str">
            <v>ISF2.8</v>
          </cell>
          <cell r="E102" t="str">
            <v>增压器回油管</v>
          </cell>
          <cell r="F102">
            <v>52.95</v>
          </cell>
        </row>
        <row r="103">
          <cell r="B103">
            <v>5340176</v>
          </cell>
        </row>
        <row r="103">
          <cell r="D103" t="str">
            <v>ISF2.8</v>
          </cell>
          <cell r="E103" t="str">
            <v>增压器回油管</v>
          </cell>
          <cell r="F103">
            <v>53.8407</v>
          </cell>
        </row>
        <row r="104">
          <cell r="B104">
            <v>3698095</v>
          </cell>
        </row>
        <row r="104">
          <cell r="D104">
            <v>0</v>
          </cell>
          <cell r="E104" t="str">
            <v>增压器回油管</v>
          </cell>
          <cell r="F104">
            <v>40.19</v>
          </cell>
        </row>
        <row r="105">
          <cell r="B105">
            <v>3697151</v>
          </cell>
        </row>
        <row r="105">
          <cell r="D105" t="str">
            <v>ISG</v>
          </cell>
          <cell r="E105" t="str">
            <v>增压器回水管</v>
          </cell>
          <cell r="F105">
            <v>190.11</v>
          </cell>
        </row>
        <row r="106">
          <cell r="B106">
            <v>3697152</v>
          </cell>
        </row>
        <row r="106">
          <cell r="D106">
            <v>0</v>
          </cell>
          <cell r="E106" t="str">
            <v>增压器回水管</v>
          </cell>
          <cell r="F106">
            <v>184.44</v>
          </cell>
        </row>
        <row r="107">
          <cell r="B107">
            <v>5377799</v>
          </cell>
        </row>
        <row r="107">
          <cell r="D107">
            <v>0</v>
          </cell>
          <cell r="E107" t="str">
            <v>增压器回水管</v>
          </cell>
          <cell r="F107">
            <v>76.33</v>
          </cell>
        </row>
        <row r="108">
          <cell r="B108">
            <v>5582106</v>
          </cell>
        </row>
        <row r="108">
          <cell r="D108">
            <v>0</v>
          </cell>
          <cell r="E108" t="str">
            <v>增压器回水管</v>
          </cell>
          <cell r="F108">
            <v>56.04</v>
          </cell>
        </row>
        <row r="109">
          <cell r="B109">
            <v>5297610</v>
          </cell>
        </row>
        <row r="109">
          <cell r="D109" t="str">
            <v>ISF2.8</v>
          </cell>
          <cell r="E109" t="str">
            <v>增压器回水管</v>
          </cell>
          <cell r="F109">
            <v>53.8407</v>
          </cell>
        </row>
        <row r="110">
          <cell r="B110">
            <v>5564601</v>
          </cell>
        </row>
        <row r="110">
          <cell r="D110" t="str">
            <v>ISF3.8</v>
          </cell>
          <cell r="E110" t="str">
            <v>增压器回水管</v>
          </cell>
          <cell r="F110">
            <v>45.1</v>
          </cell>
        </row>
        <row r="111">
          <cell r="B111">
            <v>5340837</v>
          </cell>
        </row>
        <row r="111">
          <cell r="D111" t="str">
            <v>ISF4.5</v>
          </cell>
          <cell r="E111" t="str">
            <v>增压器回水管</v>
          </cell>
          <cell r="F111">
            <v>45.08</v>
          </cell>
        </row>
        <row r="112">
          <cell r="B112">
            <v>5681467</v>
          </cell>
        </row>
        <row r="112">
          <cell r="D112">
            <v>0</v>
          </cell>
          <cell r="E112" t="str">
            <v>增压器供油管</v>
          </cell>
          <cell r="F112">
            <v>307.16</v>
          </cell>
        </row>
        <row r="113">
          <cell r="B113">
            <v>5371098</v>
          </cell>
        </row>
        <row r="113">
          <cell r="D113" t="str">
            <v>ISG</v>
          </cell>
          <cell r="E113" t="str">
            <v>增压器补偿连接管</v>
          </cell>
          <cell r="F113">
            <v>91.48</v>
          </cell>
        </row>
        <row r="114">
          <cell r="B114">
            <v>5297369</v>
          </cell>
        </row>
        <row r="114">
          <cell r="D114" t="str">
            <v>ISF3.8</v>
          </cell>
          <cell r="E114" t="str">
            <v>增压器补偿连接管</v>
          </cell>
          <cell r="F114">
            <v>19.72</v>
          </cell>
        </row>
        <row r="115">
          <cell r="B115">
            <v>3798216</v>
          </cell>
          <cell r="C115">
            <v>3792551</v>
          </cell>
          <cell r="D115">
            <v>0</v>
          </cell>
          <cell r="E115" t="str">
            <v>增压器</v>
          </cell>
          <cell r="F115">
            <v>8923.08</v>
          </cell>
        </row>
        <row r="116">
          <cell r="B116">
            <v>3798214</v>
          </cell>
          <cell r="C116">
            <v>3792550</v>
          </cell>
          <cell r="D116">
            <v>0</v>
          </cell>
          <cell r="E116" t="str">
            <v>增压器</v>
          </cell>
          <cell r="F116">
            <v>8923.08</v>
          </cell>
        </row>
        <row r="117">
          <cell r="B117">
            <v>3793015</v>
          </cell>
        </row>
        <row r="117">
          <cell r="D117">
            <v>0</v>
          </cell>
          <cell r="E117" t="str">
            <v>增压器</v>
          </cell>
          <cell r="F117">
            <v>8923.08</v>
          </cell>
        </row>
        <row r="118">
          <cell r="B118">
            <v>3793016</v>
          </cell>
        </row>
        <row r="118">
          <cell r="D118">
            <v>0</v>
          </cell>
          <cell r="E118" t="str">
            <v>增压器</v>
          </cell>
          <cell r="F118">
            <v>8923.08</v>
          </cell>
        </row>
        <row r="119">
          <cell r="B119">
            <v>5353170</v>
          </cell>
        </row>
        <row r="119">
          <cell r="D119">
            <v>0</v>
          </cell>
          <cell r="E119" t="str">
            <v>增压器</v>
          </cell>
          <cell r="F119">
            <v>8771.79</v>
          </cell>
        </row>
        <row r="120">
          <cell r="B120">
            <v>5405287</v>
          </cell>
        </row>
        <row r="120">
          <cell r="D120" t="str">
            <v>ISF2.8</v>
          </cell>
          <cell r="E120" t="str">
            <v>增压器</v>
          </cell>
          <cell r="F120">
            <v>5948.73</v>
          </cell>
        </row>
        <row r="121">
          <cell r="B121">
            <v>5370733</v>
          </cell>
        </row>
        <row r="121">
          <cell r="D121" t="str">
            <v>ISF2.8</v>
          </cell>
          <cell r="E121" t="str">
            <v>增压器</v>
          </cell>
          <cell r="F121">
            <v>5948.73</v>
          </cell>
        </row>
        <row r="122">
          <cell r="B122">
            <v>5370734</v>
          </cell>
        </row>
        <row r="122">
          <cell r="D122" t="str">
            <v>ISF2.8</v>
          </cell>
          <cell r="E122" t="str">
            <v>增压器</v>
          </cell>
          <cell r="F122">
            <v>5524.13</v>
          </cell>
        </row>
        <row r="123">
          <cell r="B123">
            <v>5454667</v>
          </cell>
        </row>
        <row r="123">
          <cell r="D123">
            <v>0</v>
          </cell>
          <cell r="E123" t="str">
            <v>增压器</v>
          </cell>
          <cell r="F123">
            <v>5459.94</v>
          </cell>
        </row>
        <row r="124">
          <cell r="B124">
            <v>5454669</v>
          </cell>
        </row>
        <row r="124">
          <cell r="D124">
            <v>0</v>
          </cell>
          <cell r="E124" t="str">
            <v>增压器</v>
          </cell>
          <cell r="F124">
            <v>5459.94</v>
          </cell>
        </row>
        <row r="125">
          <cell r="B125">
            <v>5457193</v>
          </cell>
        </row>
        <row r="125">
          <cell r="D125">
            <v>0</v>
          </cell>
          <cell r="E125" t="str">
            <v>增压器</v>
          </cell>
          <cell r="F125">
            <v>5459.94</v>
          </cell>
        </row>
        <row r="126">
          <cell r="B126">
            <v>5457194</v>
          </cell>
        </row>
        <row r="126">
          <cell r="D126">
            <v>0</v>
          </cell>
          <cell r="E126" t="str">
            <v>增压器</v>
          </cell>
          <cell r="F126">
            <v>5459.94</v>
          </cell>
        </row>
        <row r="127">
          <cell r="B127">
            <v>5601903</v>
          </cell>
        </row>
        <row r="127">
          <cell r="D127">
            <v>0</v>
          </cell>
          <cell r="E127" t="str">
            <v>增压器</v>
          </cell>
          <cell r="F127">
            <v>4339.2</v>
          </cell>
        </row>
        <row r="128">
          <cell r="B128">
            <v>5454661</v>
          </cell>
        </row>
        <row r="128">
          <cell r="D128">
            <v>0</v>
          </cell>
          <cell r="E128" t="str">
            <v>增压器</v>
          </cell>
          <cell r="F128">
            <v>4339.2</v>
          </cell>
        </row>
        <row r="129">
          <cell r="B129">
            <v>5454663</v>
          </cell>
        </row>
        <row r="129">
          <cell r="D129">
            <v>0</v>
          </cell>
          <cell r="E129" t="str">
            <v>增压器</v>
          </cell>
          <cell r="F129">
            <v>4339.2</v>
          </cell>
        </row>
        <row r="130">
          <cell r="B130">
            <v>5457191</v>
          </cell>
        </row>
        <row r="130">
          <cell r="D130">
            <v>0</v>
          </cell>
          <cell r="E130" t="str">
            <v>增压器</v>
          </cell>
          <cell r="F130">
            <v>4339.2</v>
          </cell>
        </row>
        <row r="131">
          <cell r="B131">
            <v>5457196</v>
          </cell>
        </row>
        <row r="131">
          <cell r="D131">
            <v>0</v>
          </cell>
          <cell r="E131" t="str">
            <v>增压器</v>
          </cell>
          <cell r="F131">
            <v>4339.2</v>
          </cell>
        </row>
        <row r="132">
          <cell r="B132">
            <v>5642112</v>
          </cell>
        </row>
        <row r="132">
          <cell r="D132">
            <v>0</v>
          </cell>
          <cell r="E132" t="str">
            <v>增压器</v>
          </cell>
          <cell r="F132">
            <v>3863.24</v>
          </cell>
        </row>
        <row r="133">
          <cell r="B133">
            <v>5351588</v>
          </cell>
        </row>
        <row r="133">
          <cell r="D133">
            <v>0</v>
          </cell>
          <cell r="E133" t="str">
            <v>增压器</v>
          </cell>
          <cell r="F133">
            <v>3749.07</v>
          </cell>
        </row>
        <row r="134">
          <cell r="B134">
            <v>5454675</v>
          </cell>
        </row>
        <row r="134">
          <cell r="D134">
            <v>0</v>
          </cell>
          <cell r="E134" t="str">
            <v>增压器</v>
          </cell>
          <cell r="F134">
            <v>3749.07</v>
          </cell>
        </row>
        <row r="135">
          <cell r="B135">
            <v>5457192</v>
          </cell>
        </row>
        <row r="135">
          <cell r="D135">
            <v>0</v>
          </cell>
          <cell r="E135" t="str">
            <v>增压器</v>
          </cell>
          <cell r="F135">
            <v>3749.07</v>
          </cell>
        </row>
        <row r="136">
          <cell r="B136">
            <v>5457195</v>
          </cell>
        </row>
        <row r="136">
          <cell r="D136">
            <v>0</v>
          </cell>
          <cell r="E136" t="str">
            <v>增压器</v>
          </cell>
          <cell r="F136">
            <v>3749.07</v>
          </cell>
        </row>
        <row r="137">
          <cell r="B137">
            <v>5457197</v>
          </cell>
        </row>
        <row r="137">
          <cell r="D137">
            <v>0</v>
          </cell>
          <cell r="E137" t="str">
            <v>增压器</v>
          </cell>
          <cell r="F137">
            <v>3749.07</v>
          </cell>
        </row>
        <row r="138">
          <cell r="B138">
            <v>5503129</v>
          </cell>
        </row>
        <row r="138">
          <cell r="D138">
            <v>0</v>
          </cell>
          <cell r="E138" t="str">
            <v>增压器</v>
          </cell>
          <cell r="F138">
            <v>3749.07</v>
          </cell>
        </row>
        <row r="139">
          <cell r="B139">
            <v>5554892</v>
          </cell>
        </row>
        <row r="139">
          <cell r="D139">
            <v>0</v>
          </cell>
          <cell r="E139" t="str">
            <v>增压器</v>
          </cell>
          <cell r="F139">
            <v>3749.07</v>
          </cell>
        </row>
        <row r="140">
          <cell r="B140">
            <v>5604467</v>
          </cell>
        </row>
        <row r="140">
          <cell r="D140">
            <v>0</v>
          </cell>
          <cell r="E140" t="str">
            <v>增压器</v>
          </cell>
          <cell r="F140">
            <v>3749.07</v>
          </cell>
        </row>
        <row r="141">
          <cell r="B141">
            <v>5498660</v>
          </cell>
        </row>
        <row r="141">
          <cell r="D141">
            <v>0</v>
          </cell>
          <cell r="E141" t="str">
            <v>增压器</v>
          </cell>
          <cell r="F141">
            <v>3259.6</v>
          </cell>
        </row>
        <row r="142">
          <cell r="B142">
            <v>5503128</v>
          </cell>
        </row>
        <row r="142">
          <cell r="D142">
            <v>0</v>
          </cell>
          <cell r="E142" t="str">
            <v>增压器</v>
          </cell>
          <cell r="F142">
            <v>3259.6</v>
          </cell>
        </row>
        <row r="143">
          <cell r="B143">
            <v>5549152</v>
          </cell>
        </row>
        <row r="143">
          <cell r="D143">
            <v>0</v>
          </cell>
          <cell r="E143" t="str">
            <v>增压器</v>
          </cell>
          <cell r="F143">
            <v>3259.6</v>
          </cell>
        </row>
        <row r="144">
          <cell r="B144">
            <v>5551932</v>
          </cell>
        </row>
        <row r="144">
          <cell r="D144">
            <v>0</v>
          </cell>
          <cell r="E144" t="str">
            <v>增压器</v>
          </cell>
          <cell r="F144">
            <v>3259.6</v>
          </cell>
        </row>
        <row r="145">
          <cell r="B145">
            <v>5495914</v>
          </cell>
        </row>
        <row r="145">
          <cell r="D145">
            <v>0</v>
          </cell>
          <cell r="E145" t="str">
            <v>增压器</v>
          </cell>
          <cell r="F145">
            <v>3259.58</v>
          </cell>
        </row>
        <row r="146">
          <cell r="B146">
            <v>5600810</v>
          </cell>
        </row>
        <row r="146">
          <cell r="D146">
            <v>0</v>
          </cell>
          <cell r="E146" t="str">
            <v>增压器</v>
          </cell>
          <cell r="F146">
            <v>3259.58</v>
          </cell>
        </row>
        <row r="147">
          <cell r="B147">
            <v>3791373</v>
          </cell>
        </row>
        <row r="147">
          <cell r="D147">
            <v>0</v>
          </cell>
          <cell r="E147" t="str">
            <v>增压器</v>
          </cell>
          <cell r="F147">
            <v>2897.45</v>
          </cell>
        </row>
        <row r="148">
          <cell r="B148">
            <v>5358738</v>
          </cell>
        </row>
        <row r="148">
          <cell r="D148">
            <v>0</v>
          </cell>
          <cell r="E148" t="str">
            <v>增压器</v>
          </cell>
          <cell r="F148">
            <v>2607.69</v>
          </cell>
        </row>
        <row r="149">
          <cell r="B149">
            <v>5457348</v>
          </cell>
        </row>
        <row r="149">
          <cell r="D149" t="str">
            <v>ISG</v>
          </cell>
          <cell r="E149" t="str">
            <v>增压器</v>
          </cell>
          <cell r="F149">
            <v>2607.69</v>
          </cell>
        </row>
        <row r="150">
          <cell r="B150">
            <v>5359258</v>
          </cell>
        </row>
        <row r="150">
          <cell r="D150">
            <v>0</v>
          </cell>
          <cell r="E150" t="str">
            <v>增压器</v>
          </cell>
          <cell r="F150">
            <v>2607.69</v>
          </cell>
        </row>
        <row r="151">
          <cell r="B151">
            <v>5358740</v>
          </cell>
        </row>
        <row r="151">
          <cell r="D151" t="str">
            <v>ISG</v>
          </cell>
          <cell r="E151" t="str">
            <v>增压器</v>
          </cell>
          <cell r="F151">
            <v>2607.68</v>
          </cell>
        </row>
        <row r="152">
          <cell r="B152">
            <v>5351312</v>
          </cell>
        </row>
        <row r="152">
          <cell r="D152">
            <v>0</v>
          </cell>
          <cell r="E152" t="str">
            <v>增压器</v>
          </cell>
          <cell r="F152">
            <v>2607.68</v>
          </cell>
        </row>
        <row r="153">
          <cell r="B153">
            <v>5358432</v>
          </cell>
        </row>
        <row r="153">
          <cell r="D153">
            <v>0</v>
          </cell>
          <cell r="E153" t="str">
            <v>增压器</v>
          </cell>
          <cell r="F153">
            <v>2607.68</v>
          </cell>
        </row>
        <row r="154">
          <cell r="B154">
            <v>5359648</v>
          </cell>
        </row>
        <row r="154">
          <cell r="D154">
            <v>0</v>
          </cell>
          <cell r="E154" t="str">
            <v>增压器</v>
          </cell>
          <cell r="F154">
            <v>2607.68</v>
          </cell>
        </row>
        <row r="155">
          <cell r="B155">
            <v>5454040</v>
          </cell>
        </row>
        <row r="155">
          <cell r="D155">
            <v>0</v>
          </cell>
          <cell r="E155" t="str">
            <v>增压器</v>
          </cell>
          <cell r="F155">
            <v>2607.68</v>
          </cell>
        </row>
        <row r="156">
          <cell r="B156">
            <v>5454665</v>
          </cell>
        </row>
        <row r="156">
          <cell r="D156">
            <v>0</v>
          </cell>
          <cell r="E156" t="str">
            <v>增压器</v>
          </cell>
          <cell r="F156">
            <v>2607.68</v>
          </cell>
        </row>
        <row r="157">
          <cell r="B157">
            <v>5459585</v>
          </cell>
        </row>
        <row r="157">
          <cell r="D157">
            <v>0</v>
          </cell>
          <cell r="E157" t="str">
            <v>增压器</v>
          </cell>
          <cell r="F157">
            <v>2607.68</v>
          </cell>
        </row>
        <row r="158">
          <cell r="B158">
            <v>3774233</v>
          </cell>
        </row>
        <row r="158">
          <cell r="D158">
            <v>0</v>
          </cell>
          <cell r="E158" t="str">
            <v>增压器</v>
          </cell>
          <cell r="F158">
            <v>2567.23</v>
          </cell>
        </row>
        <row r="159">
          <cell r="B159">
            <v>3774187</v>
          </cell>
        </row>
        <row r="159">
          <cell r="D159">
            <v>0</v>
          </cell>
          <cell r="E159" t="str">
            <v>增压器</v>
          </cell>
          <cell r="F159">
            <v>2514.93</v>
          </cell>
        </row>
        <row r="160">
          <cell r="B160">
            <v>5638960</v>
          </cell>
          <cell r="C160">
            <v>5555627</v>
          </cell>
          <cell r="D160">
            <v>0</v>
          </cell>
          <cell r="E160" t="str">
            <v>增压器</v>
          </cell>
          <cell r="F160">
            <v>2392.68</v>
          </cell>
        </row>
        <row r="161">
          <cell r="B161">
            <v>3774229</v>
          </cell>
        </row>
        <row r="161">
          <cell r="D161">
            <v>0</v>
          </cell>
          <cell r="E161" t="str">
            <v>增压器</v>
          </cell>
          <cell r="F161">
            <v>2342.03</v>
          </cell>
        </row>
        <row r="162">
          <cell r="B162">
            <v>3774231</v>
          </cell>
        </row>
        <row r="162">
          <cell r="D162">
            <v>0</v>
          </cell>
          <cell r="E162" t="str">
            <v>增压器</v>
          </cell>
          <cell r="F162">
            <v>2342.03</v>
          </cell>
        </row>
        <row r="163">
          <cell r="B163">
            <v>5638999</v>
          </cell>
          <cell r="C163">
            <v>5555636</v>
          </cell>
          <cell r="D163">
            <v>0</v>
          </cell>
          <cell r="E163" t="str">
            <v>增压器</v>
          </cell>
          <cell r="F163">
            <v>2330.54</v>
          </cell>
        </row>
        <row r="164">
          <cell r="B164">
            <v>5551850</v>
          </cell>
        </row>
        <row r="164">
          <cell r="D164">
            <v>0</v>
          </cell>
          <cell r="E164" t="str">
            <v>增压器</v>
          </cell>
          <cell r="F164">
            <v>2296.98</v>
          </cell>
        </row>
        <row r="165">
          <cell r="B165">
            <v>3774232</v>
          </cell>
        </row>
        <row r="165">
          <cell r="D165">
            <v>0</v>
          </cell>
          <cell r="E165" t="str">
            <v>增压器</v>
          </cell>
          <cell r="F165">
            <v>2279.15</v>
          </cell>
        </row>
        <row r="166">
          <cell r="B166">
            <v>3774225</v>
          </cell>
        </row>
        <row r="166">
          <cell r="D166">
            <v>0</v>
          </cell>
          <cell r="E166" t="str">
            <v>增压器</v>
          </cell>
          <cell r="F166">
            <v>2279.15</v>
          </cell>
        </row>
        <row r="167">
          <cell r="B167">
            <v>3774230</v>
          </cell>
        </row>
        <row r="167">
          <cell r="D167">
            <v>0</v>
          </cell>
          <cell r="E167" t="str">
            <v>增压器</v>
          </cell>
          <cell r="F167">
            <v>2279.15</v>
          </cell>
        </row>
        <row r="168">
          <cell r="B168">
            <v>5548701</v>
          </cell>
        </row>
        <row r="168">
          <cell r="D168">
            <v>0</v>
          </cell>
          <cell r="E168" t="str">
            <v>增压器</v>
          </cell>
          <cell r="F168">
            <v>2191.5</v>
          </cell>
        </row>
        <row r="169">
          <cell r="B169">
            <v>3773122</v>
          </cell>
        </row>
        <row r="169">
          <cell r="D169" t="str">
            <v>ISF2.8</v>
          </cell>
          <cell r="E169" t="str">
            <v>增压器</v>
          </cell>
          <cell r="F169">
            <v>1962.2</v>
          </cell>
        </row>
        <row r="170">
          <cell r="B170">
            <v>3776286</v>
          </cell>
          <cell r="C170" t="str">
            <v>3776282/3787122</v>
          </cell>
          <cell r="D170" t="str">
            <v>ISF2.8</v>
          </cell>
          <cell r="E170" t="str">
            <v>增压器</v>
          </cell>
          <cell r="F170">
            <v>1932.43</v>
          </cell>
        </row>
        <row r="171">
          <cell r="B171">
            <v>5638997</v>
          </cell>
        </row>
        <row r="171">
          <cell r="D171">
            <v>0</v>
          </cell>
          <cell r="E171" t="str">
            <v>增压器</v>
          </cell>
          <cell r="F171">
            <v>1816.54</v>
          </cell>
        </row>
        <row r="172">
          <cell r="B172">
            <v>5495435</v>
          </cell>
        </row>
        <row r="172">
          <cell r="D172">
            <v>0</v>
          </cell>
          <cell r="E172" t="str">
            <v>增压器</v>
          </cell>
          <cell r="F172">
            <v>1784.61</v>
          </cell>
        </row>
        <row r="173">
          <cell r="B173">
            <v>5555896</v>
          </cell>
        </row>
        <row r="173">
          <cell r="D173" t="str">
            <v>ISF2.8</v>
          </cell>
          <cell r="E173" t="str">
            <v>增压器</v>
          </cell>
          <cell r="F173">
            <v>1784.61</v>
          </cell>
        </row>
        <row r="174">
          <cell r="B174">
            <v>5638958</v>
          </cell>
        </row>
        <row r="174">
          <cell r="D174">
            <v>0</v>
          </cell>
          <cell r="E174" t="str">
            <v>增压器</v>
          </cell>
          <cell r="F174">
            <v>1737.07</v>
          </cell>
        </row>
        <row r="175">
          <cell r="B175">
            <v>5328287</v>
          </cell>
        </row>
        <row r="175">
          <cell r="D175">
            <v>0</v>
          </cell>
          <cell r="E175" t="str">
            <v>增压器</v>
          </cell>
          <cell r="F175">
            <v>1700.67</v>
          </cell>
        </row>
        <row r="176">
          <cell r="B176">
            <v>3789077</v>
          </cell>
        </row>
        <row r="176">
          <cell r="D176">
            <v>0</v>
          </cell>
          <cell r="E176" t="str">
            <v>增压器</v>
          </cell>
          <cell r="F176">
            <v>1700</v>
          </cell>
        </row>
        <row r="177">
          <cell r="B177">
            <v>3772742</v>
          </cell>
        </row>
        <row r="177">
          <cell r="D177" t="str">
            <v>ISF3.8</v>
          </cell>
          <cell r="E177" t="str">
            <v>增压器</v>
          </cell>
          <cell r="F177">
            <v>1700</v>
          </cell>
        </row>
        <row r="178">
          <cell r="B178">
            <v>3778529</v>
          </cell>
        </row>
        <row r="178">
          <cell r="D178">
            <v>0</v>
          </cell>
          <cell r="E178" t="str">
            <v>增压器</v>
          </cell>
          <cell r="F178">
            <v>1700</v>
          </cell>
        </row>
        <row r="179">
          <cell r="B179">
            <v>5323063</v>
          </cell>
        </row>
        <row r="179">
          <cell r="D179">
            <v>0</v>
          </cell>
          <cell r="E179" t="str">
            <v>增压器</v>
          </cell>
          <cell r="F179">
            <v>1700</v>
          </cell>
        </row>
        <row r="180">
          <cell r="B180">
            <v>5359479</v>
          </cell>
        </row>
        <row r="180">
          <cell r="D180">
            <v>0</v>
          </cell>
          <cell r="E180" t="str">
            <v>增压器</v>
          </cell>
          <cell r="F180">
            <v>1700</v>
          </cell>
        </row>
        <row r="181">
          <cell r="B181">
            <v>3773079</v>
          </cell>
        </row>
        <row r="181">
          <cell r="D181">
            <v>0</v>
          </cell>
          <cell r="E181" t="str">
            <v>增压器</v>
          </cell>
          <cell r="F181">
            <v>1700</v>
          </cell>
        </row>
        <row r="182">
          <cell r="B182">
            <v>3773081</v>
          </cell>
        </row>
        <row r="182">
          <cell r="D182">
            <v>0</v>
          </cell>
          <cell r="E182" t="str">
            <v>增压器</v>
          </cell>
          <cell r="F182">
            <v>1700</v>
          </cell>
        </row>
        <row r="183">
          <cell r="B183">
            <v>3779515</v>
          </cell>
        </row>
        <row r="183">
          <cell r="D183">
            <v>0</v>
          </cell>
          <cell r="E183" t="str">
            <v>增压器</v>
          </cell>
          <cell r="F183">
            <v>1699.99</v>
          </cell>
        </row>
        <row r="184">
          <cell r="B184">
            <v>3790142</v>
          </cell>
        </row>
        <row r="184">
          <cell r="D184" t="str">
            <v>ISF3.8</v>
          </cell>
          <cell r="E184" t="str">
            <v>增压器</v>
          </cell>
          <cell r="F184">
            <v>1699.99</v>
          </cell>
        </row>
        <row r="185">
          <cell r="B185">
            <v>3788177</v>
          </cell>
        </row>
        <row r="185">
          <cell r="D185">
            <v>0</v>
          </cell>
          <cell r="E185" t="str">
            <v>增压器</v>
          </cell>
          <cell r="F185">
            <v>1699.99</v>
          </cell>
        </row>
        <row r="186">
          <cell r="B186">
            <v>3794989</v>
          </cell>
          <cell r="C186" t="str">
            <v>3777897/3796175</v>
          </cell>
          <cell r="D186">
            <v>0</v>
          </cell>
          <cell r="E186" t="str">
            <v>增压器</v>
          </cell>
          <cell r="F186">
            <v>1685.49</v>
          </cell>
        </row>
        <row r="187">
          <cell r="B187">
            <v>3776284</v>
          </cell>
        </row>
        <row r="187">
          <cell r="D187">
            <v>0</v>
          </cell>
          <cell r="E187" t="str">
            <v>增压器</v>
          </cell>
          <cell r="F187">
            <v>1665.66</v>
          </cell>
        </row>
        <row r="188">
          <cell r="B188">
            <v>3778531</v>
          </cell>
        </row>
        <row r="188">
          <cell r="D188">
            <v>0</v>
          </cell>
          <cell r="E188" t="str">
            <v>增压器</v>
          </cell>
          <cell r="F188">
            <v>1665.66</v>
          </cell>
        </row>
        <row r="189">
          <cell r="B189">
            <v>3788178</v>
          </cell>
        </row>
        <row r="189">
          <cell r="D189" t="str">
            <v>ISF2.8</v>
          </cell>
          <cell r="E189" t="str">
            <v>增压器</v>
          </cell>
          <cell r="F189">
            <v>1665.66</v>
          </cell>
        </row>
        <row r="190">
          <cell r="B190">
            <v>5350162</v>
          </cell>
        </row>
        <row r="190">
          <cell r="D190">
            <v>0</v>
          </cell>
          <cell r="E190" t="str">
            <v>增压器</v>
          </cell>
          <cell r="F190">
            <v>1487.18</v>
          </cell>
        </row>
        <row r="191">
          <cell r="B191">
            <v>6393680</v>
          </cell>
          <cell r="C191">
            <v>5646488</v>
          </cell>
          <cell r="D191">
            <v>0</v>
          </cell>
          <cell r="E191" t="str">
            <v>增压器</v>
          </cell>
          <cell r="F191">
            <v>1265.93</v>
          </cell>
        </row>
        <row r="192">
          <cell r="B192">
            <v>5614291</v>
          </cell>
        </row>
        <row r="192">
          <cell r="D192">
            <v>0</v>
          </cell>
          <cell r="E192" t="str">
            <v>增压补偿器连接管</v>
          </cell>
          <cell r="F192">
            <v>73.59</v>
          </cell>
        </row>
        <row r="193">
          <cell r="B193">
            <v>5296000</v>
          </cell>
        </row>
        <row r="193">
          <cell r="D193">
            <v>0</v>
          </cell>
          <cell r="E193" t="str">
            <v>圆头螺钉</v>
          </cell>
          <cell r="F193">
            <v>11.11</v>
          </cell>
        </row>
        <row r="194">
          <cell r="B194">
            <v>5417350</v>
          </cell>
        </row>
        <row r="194">
          <cell r="D194" t="str">
            <v>ISG</v>
          </cell>
          <cell r="E194" t="str">
            <v>右排气摇臂</v>
          </cell>
          <cell r="F194">
            <v>393.9547</v>
          </cell>
        </row>
        <row r="195">
          <cell r="B195">
            <v>3695365</v>
          </cell>
        </row>
        <row r="195">
          <cell r="D195" t="str">
            <v>ISG</v>
          </cell>
          <cell r="E195" t="str">
            <v>右进气摇臂</v>
          </cell>
          <cell r="F195">
            <v>214.8503</v>
          </cell>
        </row>
        <row r="196">
          <cell r="B196">
            <v>5486335</v>
          </cell>
        </row>
        <row r="196">
          <cell r="D196">
            <v>0</v>
          </cell>
          <cell r="E196" t="str">
            <v>右进气摇臂</v>
          </cell>
          <cell r="F196">
            <v>204.6139</v>
          </cell>
        </row>
        <row r="197">
          <cell r="B197">
            <v>5259161</v>
          </cell>
        </row>
        <row r="197">
          <cell r="D197" t="str">
            <v>ISF3.8</v>
          </cell>
          <cell r="E197" t="str">
            <v>油气分离器(国四康瑞H3)</v>
          </cell>
          <cell r="F197">
            <v>15.19</v>
          </cell>
        </row>
        <row r="198">
          <cell r="B198">
            <v>5417275</v>
          </cell>
        </row>
        <row r="198">
          <cell r="D198">
            <v>0</v>
          </cell>
          <cell r="E198" t="str">
            <v>油环</v>
          </cell>
          <cell r="F198">
            <v>48.7917</v>
          </cell>
        </row>
        <row r="199">
          <cell r="B199">
            <v>5341075</v>
          </cell>
        </row>
        <row r="199">
          <cell r="D199" t="str">
            <v>ISF4.5</v>
          </cell>
          <cell r="E199" t="str">
            <v>油环</v>
          </cell>
          <cell r="F199">
            <v>26.74</v>
          </cell>
        </row>
        <row r="200">
          <cell r="B200">
            <v>5710908</v>
          </cell>
        </row>
        <row r="200">
          <cell r="D200" t="str">
            <v>ISF2.8/3.8</v>
          </cell>
          <cell r="E200" t="str">
            <v>油环</v>
          </cell>
          <cell r="F200">
            <v>23.7</v>
          </cell>
        </row>
        <row r="201">
          <cell r="B201">
            <v>3698036</v>
          </cell>
        </row>
        <row r="201">
          <cell r="D201" t="str">
            <v>ISG</v>
          </cell>
          <cell r="E201" t="str">
            <v>油环</v>
          </cell>
          <cell r="F201">
            <v>37.8216</v>
          </cell>
        </row>
        <row r="202">
          <cell r="B202">
            <v>5332955</v>
          </cell>
        </row>
        <row r="202">
          <cell r="D202" t="str">
            <v>ISF3.8</v>
          </cell>
          <cell r="E202" t="str">
            <v>油环</v>
          </cell>
          <cell r="F202">
            <v>31.28</v>
          </cell>
        </row>
        <row r="203">
          <cell r="B203">
            <v>3695511</v>
          </cell>
        </row>
        <row r="203">
          <cell r="D203" t="str">
            <v>ISG</v>
          </cell>
          <cell r="E203" t="str">
            <v>油环</v>
          </cell>
          <cell r="F203">
            <v>29.4525</v>
          </cell>
        </row>
        <row r="204">
          <cell r="B204">
            <v>4976251</v>
          </cell>
        </row>
        <row r="204">
          <cell r="D204" t="str">
            <v>ISF2.8</v>
          </cell>
          <cell r="E204" t="str">
            <v>油环</v>
          </cell>
          <cell r="F204">
            <v>22.78</v>
          </cell>
        </row>
        <row r="205">
          <cell r="B205">
            <v>4932801</v>
          </cell>
        </row>
        <row r="205">
          <cell r="D205" t="str">
            <v>ISF4.5</v>
          </cell>
          <cell r="E205" t="str">
            <v>油环</v>
          </cell>
          <cell r="F205">
            <v>22.38</v>
          </cell>
        </row>
        <row r="206">
          <cell r="B206">
            <v>3932520</v>
          </cell>
        </row>
        <row r="206">
          <cell r="D206" t="str">
            <v>ISF3.8</v>
          </cell>
          <cell r="E206" t="str">
            <v>油环</v>
          </cell>
          <cell r="F206">
            <v>18.36</v>
          </cell>
        </row>
        <row r="207">
          <cell r="B207">
            <v>5302029</v>
          </cell>
        </row>
        <row r="207">
          <cell r="D207">
            <v>0</v>
          </cell>
          <cell r="E207" t="str">
            <v>油底壳总成(带机油加热器)</v>
          </cell>
          <cell r="F207">
            <v>561.2</v>
          </cell>
        </row>
        <row r="208">
          <cell r="B208">
            <v>5665121</v>
          </cell>
          <cell r="C208" t="str">
            <v>5302027/5302026</v>
          </cell>
          <cell r="D208" t="str">
            <v>ISF3.8</v>
          </cell>
          <cell r="E208" t="str">
            <v>油底壳总成</v>
          </cell>
          <cell r="F208">
            <v>322.6464</v>
          </cell>
        </row>
        <row r="209">
          <cell r="B209">
            <v>5477519</v>
          </cell>
        </row>
        <row r="209">
          <cell r="D209" t="str">
            <v>ISF2.8</v>
          </cell>
          <cell r="E209" t="str">
            <v>油底壳密封垫(国六)</v>
          </cell>
          <cell r="F209">
            <v>56.375</v>
          </cell>
        </row>
        <row r="210">
          <cell r="B210">
            <v>3692298</v>
          </cell>
        </row>
        <row r="210">
          <cell r="D210" t="str">
            <v>ISG</v>
          </cell>
          <cell r="E210" t="str">
            <v>油底壳密封垫</v>
          </cell>
          <cell r="F210">
            <v>99.5112</v>
          </cell>
        </row>
        <row r="211">
          <cell r="B211">
            <v>4980644</v>
          </cell>
        </row>
        <row r="211">
          <cell r="D211" t="str">
            <v>ISF2.8</v>
          </cell>
          <cell r="E211" t="str">
            <v>油底壳密封垫</v>
          </cell>
          <cell r="F211">
            <v>73.44</v>
          </cell>
        </row>
        <row r="212">
          <cell r="B212">
            <v>5256541</v>
          </cell>
        </row>
        <row r="212">
          <cell r="D212" t="str">
            <v>ISF2.8/3.8</v>
          </cell>
          <cell r="E212" t="str">
            <v>油底壳密封垫</v>
          </cell>
          <cell r="F212">
            <v>71.2368</v>
          </cell>
        </row>
        <row r="213">
          <cell r="B213">
            <v>4995750</v>
          </cell>
        </row>
        <row r="213">
          <cell r="D213" t="str">
            <v>ISF3.8</v>
          </cell>
          <cell r="E213" t="str">
            <v>油底壳密封垫</v>
          </cell>
          <cell r="F213">
            <v>70.3035</v>
          </cell>
        </row>
        <row r="214">
          <cell r="B214">
            <v>5254612</v>
          </cell>
        </row>
        <row r="214">
          <cell r="D214" t="str">
            <v>ISF2.8/3.8</v>
          </cell>
          <cell r="E214" t="str">
            <v>油底壳密封垫</v>
          </cell>
          <cell r="F214">
            <v>45.78</v>
          </cell>
        </row>
        <row r="215">
          <cell r="B215">
            <v>5302033</v>
          </cell>
        </row>
        <row r="215">
          <cell r="D215" t="str">
            <v>ISF2.8</v>
          </cell>
          <cell r="E215" t="str">
            <v>油底壳</v>
          </cell>
          <cell r="F215">
            <v>772.19</v>
          </cell>
        </row>
        <row r="216">
          <cell r="B216">
            <v>5625685</v>
          </cell>
        </row>
        <row r="216">
          <cell r="D216">
            <v>0</v>
          </cell>
          <cell r="E216" t="str">
            <v>油底壳</v>
          </cell>
          <cell r="F216">
            <v>1014.0534</v>
          </cell>
        </row>
        <row r="217">
          <cell r="B217">
            <v>5308716</v>
          </cell>
        </row>
        <row r="217">
          <cell r="D217" t="str">
            <v>ISF4.5</v>
          </cell>
          <cell r="E217" t="str">
            <v>油底壳</v>
          </cell>
          <cell r="F217">
            <v>732.05</v>
          </cell>
        </row>
        <row r="218">
          <cell r="B218">
            <v>5715775</v>
          </cell>
          <cell r="C218">
            <v>3697204</v>
          </cell>
          <cell r="D218" t="str">
            <v>ISG</v>
          </cell>
          <cell r="E218" t="str">
            <v>油底壳</v>
          </cell>
          <cell r="F218">
            <v>862.614</v>
          </cell>
        </row>
        <row r="219">
          <cell r="B219">
            <v>5371051</v>
          </cell>
        </row>
        <row r="219">
          <cell r="D219">
            <v>0</v>
          </cell>
          <cell r="E219" t="str">
            <v>油底壳</v>
          </cell>
          <cell r="F219">
            <v>711.94</v>
          </cell>
        </row>
        <row r="220">
          <cell r="B220">
            <v>5289667</v>
          </cell>
        </row>
        <row r="220">
          <cell r="D220">
            <v>3.8</v>
          </cell>
          <cell r="E220" t="str">
            <v>油底壳</v>
          </cell>
          <cell r="F220">
            <v>704.7486</v>
          </cell>
        </row>
        <row r="221">
          <cell r="B221">
            <v>3697281</v>
          </cell>
        </row>
        <row r="221">
          <cell r="D221">
            <v>0</v>
          </cell>
          <cell r="E221" t="str">
            <v>油底壳</v>
          </cell>
          <cell r="F221">
            <v>732.4569</v>
          </cell>
        </row>
        <row r="222">
          <cell r="B222">
            <v>5303817</v>
          </cell>
        </row>
        <row r="222">
          <cell r="D222" t="str">
            <v>ISF2.8</v>
          </cell>
          <cell r="E222" t="str">
            <v>油底壳</v>
          </cell>
          <cell r="F222">
            <v>572.4</v>
          </cell>
        </row>
        <row r="223">
          <cell r="B223">
            <v>5302031</v>
          </cell>
        </row>
        <row r="223">
          <cell r="D223" t="str">
            <v>ISF3.8</v>
          </cell>
          <cell r="E223" t="str">
            <v>油底壳</v>
          </cell>
          <cell r="F223">
            <v>568.59</v>
          </cell>
        </row>
        <row r="224">
          <cell r="B224">
            <v>5302127</v>
          </cell>
        </row>
        <row r="224">
          <cell r="D224" t="str">
            <v>ISF2.8</v>
          </cell>
          <cell r="E224" t="str">
            <v>油底壳</v>
          </cell>
          <cell r="F224">
            <v>551.59</v>
          </cell>
        </row>
        <row r="225">
          <cell r="B225">
            <v>5302121</v>
          </cell>
        </row>
        <row r="225">
          <cell r="D225" t="str">
            <v>ISF2.8</v>
          </cell>
          <cell r="E225" t="str">
            <v>油底壳</v>
          </cell>
          <cell r="F225">
            <v>522.3573</v>
          </cell>
        </row>
        <row r="226">
          <cell r="B226">
            <v>5369836</v>
          </cell>
        </row>
        <row r="226">
          <cell r="D226" t="str">
            <v>ISF2.8</v>
          </cell>
          <cell r="E226" t="str">
            <v>油底壳</v>
          </cell>
          <cell r="F226">
            <v>448.776</v>
          </cell>
        </row>
        <row r="227">
          <cell r="B227">
            <v>5444182</v>
          </cell>
        </row>
        <row r="227">
          <cell r="D227" t="str">
            <v>ISF3.8</v>
          </cell>
          <cell r="E227" t="str">
            <v>油底壳</v>
          </cell>
          <cell r="F227">
            <v>498.5352</v>
          </cell>
        </row>
        <row r="228">
          <cell r="B228">
            <v>5302028</v>
          </cell>
        </row>
        <row r="228">
          <cell r="D228" t="str">
            <v>ISF2.8/3.8</v>
          </cell>
          <cell r="E228" t="str">
            <v>油底壳</v>
          </cell>
          <cell r="F228">
            <v>400.3398</v>
          </cell>
        </row>
        <row r="229">
          <cell r="B229">
            <v>5302129</v>
          </cell>
        </row>
        <row r="229">
          <cell r="D229" t="str">
            <v>ISF2.8</v>
          </cell>
          <cell r="E229" t="str">
            <v>油底壳</v>
          </cell>
          <cell r="F229">
            <v>371.86</v>
          </cell>
        </row>
        <row r="230">
          <cell r="B230">
            <v>5302123</v>
          </cell>
          <cell r="C230">
            <v>5262694</v>
          </cell>
          <cell r="D230" t="str">
            <v>ISF2.8</v>
          </cell>
          <cell r="E230" t="str">
            <v>油底壳</v>
          </cell>
          <cell r="F230">
            <v>298.77</v>
          </cell>
        </row>
        <row r="231">
          <cell r="B231">
            <v>5669026</v>
          </cell>
          <cell r="C231">
            <v>5482721</v>
          </cell>
          <cell r="D231" t="str">
            <v>ISF2.8</v>
          </cell>
          <cell r="E231" t="str">
            <v>油底壳</v>
          </cell>
          <cell r="F231">
            <v>291.85</v>
          </cell>
        </row>
        <row r="232">
          <cell r="B232">
            <v>3697517</v>
          </cell>
        </row>
        <row r="232">
          <cell r="D232">
            <v>0</v>
          </cell>
          <cell r="E232" t="str">
            <v>异型密封圈</v>
          </cell>
          <cell r="F232">
            <v>19.6299</v>
          </cell>
        </row>
        <row r="233">
          <cell r="B233">
            <v>5266796</v>
          </cell>
        </row>
        <row r="233">
          <cell r="D233" t="str">
            <v>ISF2.8</v>
          </cell>
          <cell r="E233" t="str">
            <v>异型密封圈</v>
          </cell>
          <cell r="F233">
            <v>8.62</v>
          </cell>
        </row>
        <row r="234">
          <cell r="B234">
            <v>3696102</v>
          </cell>
        </row>
        <row r="234">
          <cell r="D234">
            <v>0</v>
          </cell>
          <cell r="E234" t="str">
            <v>异型螺栓</v>
          </cell>
          <cell r="F234">
            <v>13.32</v>
          </cell>
        </row>
        <row r="235">
          <cell r="B235">
            <v>3695719</v>
          </cell>
        </row>
        <row r="235">
          <cell r="D235">
            <v>0</v>
          </cell>
          <cell r="E235" t="str">
            <v>异型螺栓</v>
          </cell>
          <cell r="F235">
            <v>12.78</v>
          </cell>
        </row>
        <row r="236">
          <cell r="B236">
            <v>5285750</v>
          </cell>
        </row>
        <row r="236">
          <cell r="D236" t="str">
            <v>ISF3.8</v>
          </cell>
          <cell r="E236" t="str">
            <v>异形管</v>
          </cell>
          <cell r="F236">
            <v>50.3217</v>
          </cell>
        </row>
        <row r="237">
          <cell r="B237">
            <v>5486993</v>
          </cell>
        </row>
        <row r="237">
          <cell r="D237">
            <v>0</v>
          </cell>
          <cell r="E237" t="str">
            <v>摇臂组</v>
          </cell>
          <cell r="F237">
            <v>2066.2206</v>
          </cell>
        </row>
        <row r="238">
          <cell r="B238">
            <v>5259953</v>
          </cell>
        </row>
        <row r="238">
          <cell r="D238" t="str">
            <v>ISF3.8</v>
          </cell>
          <cell r="E238" t="str">
            <v>摇臂总成(国四康瑞H3)</v>
          </cell>
          <cell r="F238">
            <v>71.7363</v>
          </cell>
        </row>
        <row r="239">
          <cell r="B239">
            <v>5557841</v>
          </cell>
        </row>
        <row r="239">
          <cell r="D239">
            <v>0</v>
          </cell>
          <cell r="E239" t="str">
            <v>摇臂总成</v>
          </cell>
          <cell r="F239">
            <v>676.07</v>
          </cell>
        </row>
        <row r="240">
          <cell r="B240">
            <v>3697795</v>
          </cell>
        </row>
        <row r="240">
          <cell r="D240">
            <v>0</v>
          </cell>
          <cell r="E240" t="str">
            <v>摇臂轴</v>
          </cell>
          <cell r="F240">
            <v>77.1153</v>
          </cell>
        </row>
        <row r="241">
          <cell r="B241">
            <v>3697835</v>
          </cell>
        </row>
        <row r="241">
          <cell r="D241">
            <v>0</v>
          </cell>
          <cell r="E241" t="str">
            <v>摇臂轴</v>
          </cell>
          <cell r="F241">
            <v>77.1153</v>
          </cell>
        </row>
        <row r="242">
          <cell r="B242">
            <v>5255568</v>
          </cell>
        </row>
        <row r="242">
          <cell r="D242" t="str">
            <v>ISF2.8</v>
          </cell>
          <cell r="E242" t="str">
            <v>摇臂轴</v>
          </cell>
          <cell r="F242">
            <v>6.96</v>
          </cell>
        </row>
        <row r="243">
          <cell r="B243">
            <v>4928699</v>
          </cell>
        </row>
        <row r="243">
          <cell r="D243" t="str">
            <v>ISF3.8</v>
          </cell>
          <cell r="E243" t="str">
            <v>摇臂轴</v>
          </cell>
          <cell r="F243">
            <v>6.45</v>
          </cell>
        </row>
        <row r="244">
          <cell r="B244">
            <v>5620278</v>
          </cell>
        </row>
        <row r="244">
          <cell r="D244">
            <v>0</v>
          </cell>
          <cell r="E244" t="str">
            <v>摇臂支架</v>
          </cell>
          <cell r="F244">
            <v>516.84</v>
          </cell>
        </row>
        <row r="245">
          <cell r="B245">
            <v>3696268</v>
          </cell>
        </row>
        <row r="245">
          <cell r="D245">
            <v>0</v>
          </cell>
          <cell r="E245" t="str">
            <v>摇臂支架</v>
          </cell>
          <cell r="F245">
            <v>85.18</v>
          </cell>
        </row>
        <row r="246">
          <cell r="B246">
            <v>5295581</v>
          </cell>
        </row>
        <row r="246">
          <cell r="D246" t="str">
            <v>ISF2.8</v>
          </cell>
          <cell r="E246" t="str">
            <v>摇臂支架</v>
          </cell>
          <cell r="F246">
            <v>36.6098</v>
          </cell>
        </row>
        <row r="247">
          <cell r="B247">
            <v>5259508</v>
          </cell>
        </row>
        <row r="247">
          <cell r="D247" t="str">
            <v>ISF3.8</v>
          </cell>
          <cell r="E247" t="str">
            <v>摇臂支架</v>
          </cell>
          <cell r="F247">
            <v>6.96</v>
          </cell>
        </row>
        <row r="248">
          <cell r="B248">
            <v>3959128</v>
          </cell>
        </row>
        <row r="248">
          <cell r="D248" t="str">
            <v>ISF3.8</v>
          </cell>
          <cell r="E248" t="str">
            <v>摇臂调节螺栓</v>
          </cell>
          <cell r="F248">
            <v>4.72</v>
          </cell>
        </row>
        <row r="249">
          <cell r="B249">
            <v>5255312</v>
          </cell>
        </row>
        <row r="249">
          <cell r="D249" t="str">
            <v>ISF2.8</v>
          </cell>
          <cell r="E249" t="str">
            <v>摇臂室罩盖密封垫</v>
          </cell>
          <cell r="F249">
            <v>43.94</v>
          </cell>
        </row>
        <row r="250">
          <cell r="B250">
            <v>3942730</v>
          </cell>
        </row>
        <row r="250">
          <cell r="D250" t="str">
            <v>ISF3.8</v>
          </cell>
          <cell r="E250" t="str">
            <v>摇臂球头</v>
          </cell>
          <cell r="F250">
            <v>4.72</v>
          </cell>
        </row>
        <row r="251">
          <cell r="B251">
            <v>5576039</v>
          </cell>
        </row>
        <row r="251">
          <cell r="D251">
            <v>0</v>
          </cell>
          <cell r="E251" t="str">
            <v>摇臂</v>
          </cell>
          <cell r="F251">
            <v>1854.35</v>
          </cell>
        </row>
        <row r="252">
          <cell r="B252">
            <v>5663433</v>
          </cell>
        </row>
        <row r="252">
          <cell r="D252">
            <v>0</v>
          </cell>
          <cell r="E252" t="str">
            <v>摇臂</v>
          </cell>
          <cell r="F252">
            <v>2066.2206</v>
          </cell>
        </row>
        <row r="253">
          <cell r="B253">
            <v>5584247</v>
          </cell>
        </row>
        <row r="253">
          <cell r="D253">
            <v>0</v>
          </cell>
          <cell r="E253" t="str">
            <v>摇臂</v>
          </cell>
          <cell r="F253">
            <v>438.77</v>
          </cell>
        </row>
        <row r="254">
          <cell r="B254">
            <v>5305334</v>
          </cell>
        </row>
        <row r="254">
          <cell r="D254" t="str">
            <v>ISF2.8</v>
          </cell>
          <cell r="E254" t="str">
            <v>摇臂</v>
          </cell>
          <cell r="F254">
            <v>300.294</v>
          </cell>
        </row>
        <row r="255">
          <cell r="B255">
            <v>5667622</v>
          </cell>
        </row>
        <row r="255">
          <cell r="D255">
            <v>0</v>
          </cell>
          <cell r="E255" t="str">
            <v>摇臂</v>
          </cell>
          <cell r="F255">
            <v>215.9424</v>
          </cell>
        </row>
        <row r="256">
          <cell r="B256">
            <v>3697294</v>
          </cell>
        </row>
        <row r="256">
          <cell r="D256">
            <v>0</v>
          </cell>
          <cell r="E256" t="str">
            <v>摇臂</v>
          </cell>
          <cell r="F256">
            <v>135.23</v>
          </cell>
        </row>
        <row r="257">
          <cell r="B257">
            <v>3697297</v>
          </cell>
        </row>
        <row r="257">
          <cell r="D257">
            <v>0</v>
          </cell>
          <cell r="E257" t="str">
            <v>摇臂</v>
          </cell>
          <cell r="F257">
            <v>135.23</v>
          </cell>
        </row>
        <row r="258">
          <cell r="B258">
            <v>5586304</v>
          </cell>
        </row>
        <row r="258">
          <cell r="D258">
            <v>0</v>
          </cell>
          <cell r="E258" t="str">
            <v>摇臂</v>
          </cell>
          <cell r="F258">
            <v>83.293</v>
          </cell>
        </row>
        <row r="259">
          <cell r="B259">
            <v>5271539</v>
          </cell>
        </row>
        <row r="259">
          <cell r="D259" t="str">
            <v>ISF2.8</v>
          </cell>
          <cell r="E259" t="str">
            <v>摇臂</v>
          </cell>
          <cell r="F259">
            <v>64.2383</v>
          </cell>
        </row>
        <row r="260">
          <cell r="B260">
            <v>5271540</v>
          </cell>
        </row>
        <row r="260">
          <cell r="D260" t="str">
            <v>ISF2.8</v>
          </cell>
          <cell r="E260" t="str">
            <v>摇臂</v>
          </cell>
          <cell r="F260">
            <v>62.0867</v>
          </cell>
        </row>
        <row r="261">
          <cell r="B261">
            <v>5259952</v>
          </cell>
        </row>
        <row r="261">
          <cell r="D261" t="str">
            <v>ISF3.8</v>
          </cell>
          <cell r="E261" t="str">
            <v>摇臂</v>
          </cell>
          <cell r="F261">
            <v>31.3286</v>
          </cell>
        </row>
        <row r="262">
          <cell r="B262">
            <v>5259951</v>
          </cell>
        </row>
        <row r="262">
          <cell r="D262" t="str">
            <v>ISF3.8</v>
          </cell>
          <cell r="E262" t="str">
            <v>摇臂</v>
          </cell>
          <cell r="F262">
            <v>29.3726</v>
          </cell>
        </row>
        <row r="263">
          <cell r="B263">
            <v>5337744</v>
          </cell>
        </row>
        <row r="263">
          <cell r="D263">
            <v>0</v>
          </cell>
          <cell r="E263" t="str">
            <v>氧传感器</v>
          </cell>
          <cell r="F263">
            <v>1164.7737</v>
          </cell>
        </row>
        <row r="264">
          <cell r="B264">
            <v>5612384</v>
          </cell>
        </row>
        <row r="264">
          <cell r="D264">
            <v>0</v>
          </cell>
          <cell r="E264" t="str">
            <v>氧传感器</v>
          </cell>
          <cell r="F264">
            <v>406.14</v>
          </cell>
        </row>
        <row r="265">
          <cell r="B265">
            <v>5612385</v>
          </cell>
        </row>
        <row r="265">
          <cell r="D265">
            <v>0</v>
          </cell>
          <cell r="E265" t="str">
            <v>氧传感器</v>
          </cell>
          <cell r="F265">
            <v>406.14</v>
          </cell>
        </row>
        <row r="266">
          <cell r="B266">
            <v>5255746</v>
          </cell>
        </row>
        <row r="266">
          <cell r="D266" t="str">
            <v>ISF2.8/3.8</v>
          </cell>
          <cell r="E266" t="str">
            <v>压缩弹簧</v>
          </cell>
          <cell r="F266">
            <v>7.7</v>
          </cell>
        </row>
        <row r="267">
          <cell r="B267">
            <v>4983288</v>
          </cell>
        </row>
        <row r="267">
          <cell r="D267" t="str">
            <v>ISF3.8</v>
          </cell>
          <cell r="E267" t="str">
            <v>压缩弹簧</v>
          </cell>
          <cell r="F267">
            <v>3.2</v>
          </cell>
        </row>
        <row r="268">
          <cell r="B268">
            <v>5344012</v>
          </cell>
        </row>
        <row r="268">
          <cell r="D268">
            <v>0</v>
          </cell>
          <cell r="E268" t="str">
            <v>压力信号管</v>
          </cell>
          <cell r="F268">
            <v>85.91</v>
          </cell>
        </row>
        <row r="269">
          <cell r="B269">
            <v>5311767</v>
          </cell>
        </row>
        <row r="269">
          <cell r="D269" t="str">
            <v>ISF2.8</v>
          </cell>
          <cell r="E269" t="str">
            <v>压力信号管</v>
          </cell>
          <cell r="F269">
            <v>80.1414</v>
          </cell>
        </row>
        <row r="270">
          <cell r="B270">
            <v>5306896</v>
          </cell>
        </row>
        <row r="270">
          <cell r="D270">
            <v>0</v>
          </cell>
          <cell r="E270" t="str">
            <v>压力信号管</v>
          </cell>
          <cell r="F270">
            <v>74.8323</v>
          </cell>
        </row>
        <row r="271">
          <cell r="B271">
            <v>5361463</v>
          </cell>
        </row>
        <row r="271">
          <cell r="D271">
            <v>0</v>
          </cell>
          <cell r="E271" t="str">
            <v>压力信号管</v>
          </cell>
          <cell r="F271">
            <v>74.9241</v>
          </cell>
        </row>
        <row r="272">
          <cell r="B272">
            <v>3696400</v>
          </cell>
        </row>
        <row r="272">
          <cell r="D272">
            <v>0</v>
          </cell>
          <cell r="E272" t="str">
            <v>压力信号反馈管</v>
          </cell>
          <cell r="F272">
            <v>138.62</v>
          </cell>
        </row>
        <row r="273">
          <cell r="B273">
            <v>5614233</v>
          </cell>
        </row>
        <row r="273">
          <cell r="D273">
            <v>0</v>
          </cell>
          <cell r="E273" t="str">
            <v>压力信号反馈管</v>
          </cell>
          <cell r="F273">
            <v>135.6957</v>
          </cell>
        </row>
        <row r="274">
          <cell r="B274">
            <v>5371008</v>
          </cell>
        </row>
        <row r="274">
          <cell r="D274">
            <v>0</v>
          </cell>
          <cell r="E274" t="str">
            <v>压力信号反馈管</v>
          </cell>
          <cell r="F274">
            <v>90.1</v>
          </cell>
        </row>
        <row r="275">
          <cell r="B275">
            <v>5311172</v>
          </cell>
        </row>
        <row r="275">
          <cell r="D275">
            <v>0</v>
          </cell>
          <cell r="E275" t="str">
            <v>压力信号反馈管</v>
          </cell>
          <cell r="F275">
            <v>81.7632</v>
          </cell>
        </row>
        <row r="276">
          <cell r="B276">
            <v>5586306</v>
          </cell>
        </row>
        <row r="276">
          <cell r="D276">
            <v>0</v>
          </cell>
          <cell r="E276" t="str">
            <v>压力信号反馈管</v>
          </cell>
          <cell r="F276">
            <v>34.2261</v>
          </cell>
        </row>
        <row r="277">
          <cell r="B277">
            <v>6409108</v>
          </cell>
          <cell r="C277">
            <v>5558389</v>
          </cell>
          <cell r="D277" t="e">
            <v>#N/A</v>
          </cell>
          <cell r="E277" t="str">
            <v>压力信号反馈管</v>
          </cell>
          <cell r="F277">
            <v>39.51</v>
          </cell>
        </row>
        <row r="278">
          <cell r="B278">
            <v>5371059</v>
          </cell>
        </row>
        <row r="278">
          <cell r="D278">
            <v>0</v>
          </cell>
          <cell r="E278" t="str">
            <v>压力温度传感器</v>
          </cell>
          <cell r="F278">
            <v>732.24</v>
          </cell>
        </row>
        <row r="279">
          <cell r="B279">
            <v>2897332</v>
          </cell>
          <cell r="C279">
            <v>5698454</v>
          </cell>
          <cell r="D279" t="str">
            <v>ISF2.8</v>
          </cell>
          <cell r="E279" t="str">
            <v>压力温度传感器</v>
          </cell>
          <cell r="F279">
            <v>131.4423</v>
          </cell>
        </row>
        <row r="280">
          <cell r="B280" t="str">
            <v>S2897333A2080</v>
          </cell>
          <cell r="C280" t="str">
            <v>2897331/2897333/5698455/4076493</v>
          </cell>
          <cell r="D280" t="e">
            <v>#N/A</v>
          </cell>
          <cell r="E280" t="str">
            <v>压力温度传感器</v>
          </cell>
          <cell r="F280">
            <v>94.8906</v>
          </cell>
        </row>
        <row r="281">
          <cell r="B281">
            <v>5698453</v>
          </cell>
        </row>
        <row r="281">
          <cell r="D281" t="str">
            <v>ISF2.8/3.8</v>
          </cell>
          <cell r="E281" t="str">
            <v>压力温度传感器</v>
          </cell>
          <cell r="F281">
            <v>72.8739</v>
          </cell>
        </row>
        <row r="282">
          <cell r="B282">
            <v>5257595</v>
          </cell>
        </row>
        <row r="282">
          <cell r="D282">
            <v>0</v>
          </cell>
          <cell r="E282" t="str">
            <v>压力调节阀</v>
          </cell>
          <cell r="F282">
            <v>712.215</v>
          </cell>
        </row>
        <row r="283">
          <cell r="B283">
            <v>5396547</v>
          </cell>
        </row>
        <row r="283">
          <cell r="D283">
            <v>0</v>
          </cell>
          <cell r="E283" t="str">
            <v>压力调节阀</v>
          </cell>
          <cell r="F283">
            <v>517.9815</v>
          </cell>
        </row>
        <row r="284">
          <cell r="B284">
            <v>5588809</v>
          </cell>
        </row>
        <row r="284">
          <cell r="D284" t="str">
            <v>ISF2.8</v>
          </cell>
          <cell r="E284" t="str">
            <v>压力调节阀</v>
          </cell>
          <cell r="F284">
            <v>117.4275</v>
          </cell>
        </row>
        <row r="285">
          <cell r="B285">
            <v>5593014</v>
          </cell>
        </row>
        <row r="285">
          <cell r="D285">
            <v>0</v>
          </cell>
          <cell r="E285" t="str">
            <v>压力控制阀</v>
          </cell>
          <cell r="F285">
            <v>166.77</v>
          </cell>
        </row>
        <row r="286">
          <cell r="B286">
            <v>3690281</v>
          </cell>
        </row>
        <row r="286">
          <cell r="D286">
            <v>0</v>
          </cell>
          <cell r="E286" t="str">
            <v>压力控制阀</v>
          </cell>
          <cell r="F286">
            <v>138.98</v>
          </cell>
        </row>
        <row r="287">
          <cell r="B287">
            <v>5677803</v>
          </cell>
          <cell r="C287">
            <v>4076930</v>
          </cell>
          <cell r="D287" t="str">
            <v>ISF2.8/3.8</v>
          </cell>
          <cell r="E287" t="str">
            <v>压力开关</v>
          </cell>
          <cell r="F287">
            <v>15.3612</v>
          </cell>
        </row>
        <row r="288">
          <cell r="B288">
            <v>4928594</v>
          </cell>
        </row>
        <row r="288">
          <cell r="D288" t="str">
            <v>ISF2.8/3.8/ISG</v>
          </cell>
          <cell r="E288" t="str">
            <v>压力传感器(国四康瑞H3)</v>
          </cell>
          <cell r="F288">
            <v>165.4542</v>
          </cell>
        </row>
        <row r="289">
          <cell r="B289">
            <v>3974092</v>
          </cell>
        </row>
        <row r="289">
          <cell r="D289">
            <v>0</v>
          </cell>
          <cell r="E289" t="str">
            <v>压力传感器</v>
          </cell>
          <cell r="F289">
            <v>434.7342</v>
          </cell>
        </row>
        <row r="290">
          <cell r="B290">
            <v>5461798</v>
          </cell>
        </row>
        <row r="290">
          <cell r="D290" t="str">
            <v>ISG</v>
          </cell>
          <cell r="E290" t="str">
            <v>压力传感器</v>
          </cell>
          <cell r="F290">
            <v>412.2432</v>
          </cell>
        </row>
        <row r="291">
          <cell r="B291">
            <v>5612551</v>
          </cell>
        </row>
        <row r="291">
          <cell r="D291">
            <v>0</v>
          </cell>
          <cell r="E291" t="str">
            <v>压力传感器</v>
          </cell>
          <cell r="F291">
            <v>158.82</v>
          </cell>
        </row>
        <row r="292">
          <cell r="B292">
            <v>5698300</v>
          </cell>
        </row>
        <row r="292">
          <cell r="D292">
            <v>0</v>
          </cell>
          <cell r="E292" t="str">
            <v>压力传感器</v>
          </cell>
          <cell r="F292">
            <v>107.2989</v>
          </cell>
        </row>
        <row r="293">
          <cell r="B293">
            <v>5491435</v>
          </cell>
        </row>
        <row r="293">
          <cell r="D293" t="str">
            <v>ISF2.8/3.8</v>
          </cell>
          <cell r="E293" t="str">
            <v>压力传感器</v>
          </cell>
          <cell r="F293">
            <v>116.9532</v>
          </cell>
        </row>
        <row r="294">
          <cell r="B294">
            <v>4384138</v>
          </cell>
          <cell r="C294">
            <v>4307166</v>
          </cell>
          <cell r="D294" t="str">
            <v>ISF3.8</v>
          </cell>
          <cell r="E294" t="str">
            <v>压差传感器</v>
          </cell>
          <cell r="F294">
            <v>327.2211</v>
          </cell>
        </row>
        <row r="295">
          <cell r="B295" t="str">
            <v>WDXB-3.8ZHN6846</v>
          </cell>
        </row>
        <row r="295">
          <cell r="D295" t="str">
            <v>ISF3.8</v>
          </cell>
          <cell r="E295" t="str">
            <v>修理包</v>
          </cell>
          <cell r="F295">
            <v>541.92</v>
          </cell>
        </row>
        <row r="296">
          <cell r="B296" t="str">
            <v>WDXB-2.8-LZHN6846</v>
          </cell>
          <cell r="C296">
            <v>5257188</v>
          </cell>
          <cell r="D296" t="str">
            <v>ISF2.8</v>
          </cell>
          <cell r="E296" t="str">
            <v>修理包</v>
          </cell>
          <cell r="F296">
            <v>417.12</v>
          </cell>
        </row>
        <row r="297">
          <cell r="B297">
            <v>5406058</v>
          </cell>
        </row>
        <row r="297">
          <cell r="D297">
            <v>0</v>
          </cell>
          <cell r="E297" t="str">
            <v>泄压阀维修包</v>
          </cell>
          <cell r="F297">
            <v>603.6156</v>
          </cell>
        </row>
        <row r="298">
          <cell r="B298">
            <v>3974093</v>
          </cell>
        </row>
        <row r="298">
          <cell r="D298">
            <v>0</v>
          </cell>
          <cell r="E298" t="str">
            <v>泄压阀</v>
          </cell>
          <cell r="F298">
            <v>323.7327</v>
          </cell>
        </row>
        <row r="299">
          <cell r="B299">
            <v>3936365</v>
          </cell>
        </row>
        <row r="299">
          <cell r="D299" t="str">
            <v>ISF2.8/3.8</v>
          </cell>
          <cell r="E299" t="str">
            <v>泄压阀</v>
          </cell>
          <cell r="F299">
            <v>27.7389</v>
          </cell>
        </row>
        <row r="300">
          <cell r="B300">
            <v>5726236</v>
          </cell>
        </row>
        <row r="300">
          <cell r="D300">
            <v>0</v>
          </cell>
          <cell r="E300" t="str">
            <v>橡胶护帽</v>
          </cell>
          <cell r="F300">
            <v>2.42</v>
          </cell>
        </row>
        <row r="301">
          <cell r="B301">
            <v>5713455</v>
          </cell>
        </row>
        <row r="301">
          <cell r="D301">
            <v>0</v>
          </cell>
          <cell r="E301" t="str">
            <v>线束支架</v>
          </cell>
          <cell r="F301">
            <v>72.44</v>
          </cell>
        </row>
        <row r="302">
          <cell r="B302">
            <v>5377775</v>
          </cell>
        </row>
        <row r="302">
          <cell r="D302">
            <v>0</v>
          </cell>
          <cell r="E302" t="str">
            <v>线束支架</v>
          </cell>
          <cell r="F302">
            <v>11.72</v>
          </cell>
        </row>
        <row r="303">
          <cell r="B303">
            <v>5339580</v>
          </cell>
        </row>
        <row r="303">
          <cell r="D303">
            <v>0</v>
          </cell>
          <cell r="E303" t="str">
            <v>线束支架</v>
          </cell>
          <cell r="F303">
            <v>10.9</v>
          </cell>
        </row>
        <row r="304">
          <cell r="B304">
            <v>3696062</v>
          </cell>
        </row>
        <row r="304">
          <cell r="D304">
            <v>0</v>
          </cell>
          <cell r="E304" t="str">
            <v>线束支架</v>
          </cell>
          <cell r="F304">
            <v>9.63</v>
          </cell>
        </row>
        <row r="305">
          <cell r="B305">
            <v>5371030</v>
          </cell>
        </row>
        <row r="305">
          <cell r="D305">
            <v>0</v>
          </cell>
          <cell r="E305" t="str">
            <v>线束支架</v>
          </cell>
          <cell r="F305">
            <v>9</v>
          </cell>
        </row>
        <row r="306">
          <cell r="B306">
            <v>5396524</v>
          </cell>
        </row>
        <row r="306">
          <cell r="D306">
            <v>0</v>
          </cell>
          <cell r="E306" t="str">
            <v>线束支架</v>
          </cell>
          <cell r="F306">
            <v>4.95</v>
          </cell>
        </row>
        <row r="307">
          <cell r="B307">
            <v>5301414</v>
          </cell>
        </row>
        <row r="307">
          <cell r="D307" t="str">
            <v>ISF3.8</v>
          </cell>
          <cell r="E307" t="str">
            <v>线束支架</v>
          </cell>
          <cell r="F307">
            <v>4.76</v>
          </cell>
        </row>
        <row r="308">
          <cell r="B308">
            <v>5371070</v>
          </cell>
        </row>
        <row r="308">
          <cell r="D308">
            <v>0</v>
          </cell>
          <cell r="E308" t="str">
            <v>线束支架</v>
          </cell>
          <cell r="F308">
            <v>4.31</v>
          </cell>
        </row>
        <row r="309">
          <cell r="B309">
            <v>5709967</v>
          </cell>
        </row>
        <row r="309">
          <cell r="D309">
            <v>0</v>
          </cell>
          <cell r="E309" t="str">
            <v>线束扎带</v>
          </cell>
          <cell r="F309">
            <v>6.43</v>
          </cell>
        </row>
        <row r="310">
          <cell r="B310">
            <v>5377774</v>
          </cell>
        </row>
        <row r="310">
          <cell r="D310">
            <v>0</v>
          </cell>
          <cell r="E310" t="str">
            <v>线束</v>
          </cell>
          <cell r="F310">
            <v>190.058</v>
          </cell>
        </row>
        <row r="311">
          <cell r="B311">
            <v>5680851</v>
          </cell>
        </row>
        <row r="311">
          <cell r="D311">
            <v>0</v>
          </cell>
          <cell r="E311" t="str">
            <v>线束</v>
          </cell>
          <cell r="F311">
            <v>138.37</v>
          </cell>
        </row>
        <row r="312">
          <cell r="B312">
            <v>5417169</v>
          </cell>
        </row>
        <row r="312">
          <cell r="D312">
            <v>0</v>
          </cell>
          <cell r="E312" t="str">
            <v>线束</v>
          </cell>
          <cell r="F312">
            <v>148.4604</v>
          </cell>
        </row>
        <row r="313">
          <cell r="B313">
            <v>5569739</v>
          </cell>
        </row>
        <row r="313">
          <cell r="D313">
            <v>0</v>
          </cell>
          <cell r="E313" t="str">
            <v>线束</v>
          </cell>
          <cell r="F313">
            <v>122.0055</v>
          </cell>
        </row>
        <row r="314">
          <cell r="B314" t="str">
            <v>5663452F</v>
          </cell>
          <cell r="C314">
            <v>6423076</v>
          </cell>
          <cell r="D314" t="str">
            <v>ISG</v>
          </cell>
          <cell r="E314" t="str">
            <v>线束</v>
          </cell>
          <cell r="F314">
            <v>111.02</v>
          </cell>
        </row>
        <row r="315">
          <cell r="B315">
            <v>5561706</v>
          </cell>
        </row>
        <row r="315">
          <cell r="D315">
            <v>0</v>
          </cell>
          <cell r="E315" t="str">
            <v>线束</v>
          </cell>
          <cell r="F315">
            <v>102.13</v>
          </cell>
        </row>
        <row r="316">
          <cell r="B316">
            <v>5587508</v>
          </cell>
        </row>
        <row r="316">
          <cell r="D316">
            <v>0</v>
          </cell>
          <cell r="E316" t="str">
            <v>线束</v>
          </cell>
          <cell r="F316">
            <v>104.4504</v>
          </cell>
        </row>
        <row r="317">
          <cell r="B317">
            <v>3697624</v>
          </cell>
        </row>
        <row r="317">
          <cell r="D317">
            <v>0</v>
          </cell>
          <cell r="E317" t="str">
            <v>线束</v>
          </cell>
          <cell r="F317">
            <v>92.57</v>
          </cell>
        </row>
        <row r="318">
          <cell r="B318">
            <v>5587507</v>
          </cell>
          <cell r="C318">
            <v>5584171</v>
          </cell>
          <cell r="D318">
            <v>0</v>
          </cell>
          <cell r="E318" t="str">
            <v>线束</v>
          </cell>
          <cell r="F318">
            <v>89.83</v>
          </cell>
        </row>
        <row r="319">
          <cell r="B319">
            <v>3697623</v>
          </cell>
        </row>
        <row r="319">
          <cell r="D319">
            <v>0</v>
          </cell>
          <cell r="E319" t="str">
            <v>线束</v>
          </cell>
          <cell r="F319">
            <v>86.66</v>
          </cell>
        </row>
        <row r="320">
          <cell r="B320">
            <v>5417178</v>
          </cell>
        </row>
        <row r="320">
          <cell r="D320">
            <v>0</v>
          </cell>
          <cell r="E320" t="str">
            <v>线束</v>
          </cell>
          <cell r="F320">
            <v>109.0144</v>
          </cell>
        </row>
        <row r="321">
          <cell r="B321">
            <v>3697622</v>
          </cell>
        </row>
        <row r="321">
          <cell r="D321">
            <v>0</v>
          </cell>
          <cell r="E321" t="str">
            <v>线束</v>
          </cell>
          <cell r="F321">
            <v>82.65</v>
          </cell>
        </row>
        <row r="322">
          <cell r="B322">
            <v>5255315</v>
          </cell>
        </row>
        <row r="322">
          <cell r="D322">
            <v>0</v>
          </cell>
          <cell r="E322" t="str">
            <v>限压垫块</v>
          </cell>
          <cell r="F322">
            <v>11.62</v>
          </cell>
        </row>
        <row r="323">
          <cell r="B323">
            <v>4948505</v>
          </cell>
        </row>
        <row r="323">
          <cell r="D323" t="str">
            <v>ISF3.8</v>
          </cell>
          <cell r="E323" t="str">
            <v>下主轴瓦</v>
          </cell>
          <cell r="F323">
            <v>7.49</v>
          </cell>
        </row>
        <row r="324">
          <cell r="B324">
            <v>5603451</v>
          </cell>
        </row>
        <row r="324">
          <cell r="D324">
            <v>0</v>
          </cell>
          <cell r="E324" t="str">
            <v>涡轮增压器</v>
          </cell>
          <cell r="F324">
            <v>3511.63</v>
          </cell>
        </row>
        <row r="325">
          <cell r="B325">
            <v>3790138</v>
          </cell>
        </row>
        <row r="325">
          <cell r="D325">
            <v>0</v>
          </cell>
          <cell r="E325" t="str">
            <v>涡轮增压器</v>
          </cell>
          <cell r="F325">
            <v>1609.44</v>
          </cell>
        </row>
        <row r="326">
          <cell r="B326">
            <v>4088832</v>
          </cell>
        </row>
        <row r="326">
          <cell r="D326" t="str">
            <v>ISF2.8/3.8</v>
          </cell>
          <cell r="E326" t="str">
            <v>温度传感器(国五康瑞H3)</v>
          </cell>
          <cell r="F326">
            <v>42.75</v>
          </cell>
        </row>
        <row r="327">
          <cell r="B327">
            <v>5698456</v>
          </cell>
          <cell r="C327">
            <v>2897334</v>
          </cell>
          <cell r="D327" t="e">
            <v>#N/A</v>
          </cell>
          <cell r="E327" t="str">
            <v>温度传感器</v>
          </cell>
          <cell r="F327">
            <v>198.62</v>
          </cell>
        </row>
        <row r="328">
          <cell r="B328">
            <v>5612383</v>
          </cell>
        </row>
        <row r="328">
          <cell r="D328">
            <v>0</v>
          </cell>
          <cell r="E328" t="str">
            <v>温度传感器</v>
          </cell>
          <cell r="F328">
            <v>100.68</v>
          </cell>
        </row>
        <row r="329">
          <cell r="B329">
            <v>2872858</v>
          </cell>
        </row>
        <row r="329">
          <cell r="D329" t="str">
            <v>ISF3.8</v>
          </cell>
          <cell r="E329" t="str">
            <v>温度传感器</v>
          </cell>
          <cell r="F329">
            <v>112.2408</v>
          </cell>
        </row>
        <row r="330">
          <cell r="B330">
            <v>4954905</v>
          </cell>
        </row>
        <row r="330">
          <cell r="D330" t="str">
            <v>ISF2.8/3.8/ISG</v>
          </cell>
          <cell r="E330" t="str">
            <v>温度传感器</v>
          </cell>
          <cell r="F330">
            <v>29.5902</v>
          </cell>
        </row>
        <row r="331">
          <cell r="B331">
            <v>5677575</v>
          </cell>
          <cell r="C331">
            <v>4383999</v>
          </cell>
          <cell r="D331" t="str">
            <v>ISF2.8/ISF4.5</v>
          </cell>
          <cell r="E331" t="str">
            <v>位置传感器</v>
          </cell>
          <cell r="F331">
            <v>75.87</v>
          </cell>
        </row>
        <row r="332">
          <cell r="B332">
            <v>5491326</v>
          </cell>
          <cell r="C332" t="str">
            <v>4327230/2897342</v>
          </cell>
          <cell r="D332" t="str">
            <v>ISF3.8</v>
          </cell>
          <cell r="E332" t="str">
            <v>位置传感器</v>
          </cell>
          <cell r="F332">
            <v>56.99</v>
          </cell>
        </row>
        <row r="333">
          <cell r="B333">
            <v>5491325</v>
          </cell>
        </row>
        <row r="333">
          <cell r="D333" t="str">
            <v>ISF2.8</v>
          </cell>
          <cell r="E333" t="str">
            <v>位置传感器</v>
          </cell>
          <cell r="F333">
            <v>50.0004</v>
          </cell>
        </row>
        <row r="334">
          <cell r="B334">
            <v>3914035</v>
          </cell>
        </row>
        <row r="334">
          <cell r="D334" t="str">
            <v>ISF3.8</v>
          </cell>
          <cell r="E334" t="str">
            <v>碗形塞</v>
          </cell>
          <cell r="F334">
            <v>4.96</v>
          </cell>
        </row>
        <row r="335">
          <cell r="B335">
            <v>3696118</v>
          </cell>
        </row>
        <row r="335">
          <cell r="D335">
            <v>0</v>
          </cell>
          <cell r="E335" t="str">
            <v>碗形塞</v>
          </cell>
          <cell r="F335">
            <v>3.33</v>
          </cell>
        </row>
        <row r="336">
          <cell r="B336">
            <v>3007632</v>
          </cell>
        </row>
        <row r="336">
          <cell r="D336" t="str">
            <v>ISF3.8</v>
          </cell>
          <cell r="E336" t="str">
            <v>碗形塞</v>
          </cell>
          <cell r="F336">
            <v>3.27</v>
          </cell>
        </row>
        <row r="337">
          <cell r="B337">
            <v>3697699</v>
          </cell>
        </row>
        <row r="337">
          <cell r="D337">
            <v>0</v>
          </cell>
          <cell r="E337" t="str">
            <v>碗形塞</v>
          </cell>
          <cell r="F337">
            <v>4.36</v>
          </cell>
        </row>
        <row r="338">
          <cell r="B338">
            <v>3900956</v>
          </cell>
        </row>
        <row r="338">
          <cell r="D338" t="str">
            <v>ISF2.8/3.8</v>
          </cell>
          <cell r="E338" t="str">
            <v>碗形塞</v>
          </cell>
          <cell r="F338">
            <v>2.09</v>
          </cell>
        </row>
        <row r="339">
          <cell r="B339">
            <v>3920706</v>
          </cell>
        </row>
        <row r="339">
          <cell r="D339" t="str">
            <v>ISF2.8/3.8</v>
          </cell>
          <cell r="E339" t="str">
            <v>碗形塞</v>
          </cell>
          <cell r="F339">
            <v>2</v>
          </cell>
        </row>
        <row r="340">
          <cell r="B340">
            <v>3696967</v>
          </cell>
        </row>
        <row r="340">
          <cell r="D340">
            <v>0</v>
          </cell>
          <cell r="E340" t="str">
            <v>碗形塞</v>
          </cell>
          <cell r="F340">
            <v>2</v>
          </cell>
        </row>
        <row r="341">
          <cell r="B341">
            <v>3900955</v>
          </cell>
        </row>
        <row r="341">
          <cell r="D341" t="str">
            <v>ISF2.8</v>
          </cell>
          <cell r="E341" t="str">
            <v>碗形塞</v>
          </cell>
          <cell r="F341">
            <v>1.64</v>
          </cell>
        </row>
        <row r="342">
          <cell r="B342">
            <v>3945093</v>
          </cell>
        </row>
        <row r="342">
          <cell r="D342" t="str">
            <v>ISG</v>
          </cell>
          <cell r="E342" t="str">
            <v>碗形塞</v>
          </cell>
          <cell r="F342">
            <v>2.26</v>
          </cell>
        </row>
        <row r="343">
          <cell r="B343">
            <v>3692133</v>
          </cell>
        </row>
        <row r="343">
          <cell r="D343">
            <v>0</v>
          </cell>
          <cell r="E343" t="str">
            <v>碗形塞</v>
          </cell>
          <cell r="F343">
            <v>0.97</v>
          </cell>
        </row>
        <row r="344">
          <cell r="B344">
            <v>3698062</v>
          </cell>
        </row>
        <row r="344">
          <cell r="D344">
            <v>0</v>
          </cell>
          <cell r="E344" t="str">
            <v>弯软管</v>
          </cell>
          <cell r="F344">
            <v>196.2378</v>
          </cell>
        </row>
        <row r="345">
          <cell r="B345">
            <v>5305416</v>
          </cell>
        </row>
        <row r="345">
          <cell r="D345">
            <v>0</v>
          </cell>
          <cell r="E345" t="str">
            <v>弯软管</v>
          </cell>
          <cell r="F345">
            <v>58.97</v>
          </cell>
        </row>
        <row r="346">
          <cell r="B346">
            <v>3697611</v>
          </cell>
        </row>
        <row r="346">
          <cell r="D346">
            <v>0</v>
          </cell>
          <cell r="E346" t="str">
            <v>弯软管</v>
          </cell>
          <cell r="F346">
            <v>37.3626</v>
          </cell>
        </row>
        <row r="347">
          <cell r="B347">
            <v>5524519</v>
          </cell>
        </row>
        <row r="347">
          <cell r="D347" t="str">
            <v>ISF2.8</v>
          </cell>
          <cell r="E347" t="str">
            <v>弯管接头</v>
          </cell>
          <cell r="F347">
            <v>36.28</v>
          </cell>
        </row>
        <row r="348">
          <cell r="B348">
            <v>5537197</v>
          </cell>
        </row>
        <row r="348">
          <cell r="D348">
            <v>0</v>
          </cell>
          <cell r="E348" t="str">
            <v>弯管接头</v>
          </cell>
          <cell r="F348">
            <v>35.85</v>
          </cell>
        </row>
        <row r="349">
          <cell r="B349">
            <v>5558218</v>
          </cell>
        </row>
        <row r="349">
          <cell r="D349">
            <v>0</v>
          </cell>
          <cell r="E349" t="str">
            <v>弯管接头</v>
          </cell>
          <cell r="F349">
            <v>17.748</v>
          </cell>
        </row>
        <row r="350">
          <cell r="B350">
            <v>5370387</v>
          </cell>
        </row>
        <row r="350">
          <cell r="D350">
            <v>0</v>
          </cell>
          <cell r="E350" t="str">
            <v>外内外直管三通</v>
          </cell>
          <cell r="F350">
            <v>42.381</v>
          </cell>
        </row>
        <row r="351">
          <cell r="B351">
            <v>3400717</v>
          </cell>
        </row>
        <row r="351">
          <cell r="D351">
            <v>0</v>
          </cell>
          <cell r="E351" t="str">
            <v>外螺纹转接头</v>
          </cell>
          <cell r="F351">
            <v>177.15</v>
          </cell>
        </row>
        <row r="352">
          <cell r="B352">
            <v>3089584</v>
          </cell>
        </row>
        <row r="352">
          <cell r="D352">
            <v>0</v>
          </cell>
          <cell r="E352" t="str">
            <v>外螺纹转接头</v>
          </cell>
          <cell r="F352">
            <v>34.119</v>
          </cell>
        </row>
        <row r="353">
          <cell r="B353">
            <v>5313904</v>
          </cell>
        </row>
        <row r="353">
          <cell r="D353">
            <v>0</v>
          </cell>
          <cell r="E353" t="str">
            <v>外螺纹弯接头</v>
          </cell>
          <cell r="F353">
            <v>30.6765</v>
          </cell>
        </row>
        <row r="354">
          <cell r="B354">
            <v>5266766</v>
          </cell>
        </row>
        <row r="354">
          <cell r="D354">
            <v>0</v>
          </cell>
          <cell r="E354" t="str">
            <v>外螺纹弯接头</v>
          </cell>
          <cell r="F354">
            <v>16.23</v>
          </cell>
        </row>
        <row r="355">
          <cell r="B355">
            <v>5266248</v>
          </cell>
        </row>
        <row r="355">
          <cell r="D355">
            <v>0</v>
          </cell>
          <cell r="E355" t="str">
            <v>外螺纹弯接头</v>
          </cell>
          <cell r="F355">
            <v>15.26</v>
          </cell>
        </row>
        <row r="356">
          <cell r="B356">
            <v>5265285</v>
          </cell>
        </row>
        <row r="356">
          <cell r="D356" t="str">
            <v>ISF2.8</v>
          </cell>
          <cell r="E356" t="str">
            <v>外螺纹弯接头</v>
          </cell>
          <cell r="F356">
            <v>16.2</v>
          </cell>
        </row>
        <row r="357">
          <cell r="B357">
            <v>3684267</v>
          </cell>
        </row>
        <row r="357">
          <cell r="D357">
            <v>0</v>
          </cell>
          <cell r="E357" t="str">
            <v>外螺纹接头</v>
          </cell>
          <cell r="F357">
            <v>30.27</v>
          </cell>
        </row>
        <row r="358">
          <cell r="B358">
            <v>5575966</v>
          </cell>
        </row>
        <row r="358">
          <cell r="D358">
            <v>0</v>
          </cell>
          <cell r="E358" t="str">
            <v>外螺纹接头</v>
          </cell>
          <cell r="F358">
            <v>28.3</v>
          </cell>
        </row>
        <row r="359">
          <cell r="B359">
            <v>5269713</v>
          </cell>
        </row>
        <row r="359">
          <cell r="D359">
            <v>0</v>
          </cell>
          <cell r="E359" t="str">
            <v>外螺纹接头</v>
          </cell>
          <cell r="F359">
            <v>28.6416</v>
          </cell>
        </row>
        <row r="360">
          <cell r="B360">
            <v>3032627</v>
          </cell>
        </row>
        <row r="360">
          <cell r="D360">
            <v>0</v>
          </cell>
          <cell r="E360" t="str">
            <v>外螺纹接头</v>
          </cell>
          <cell r="F360">
            <v>21.96</v>
          </cell>
        </row>
        <row r="361">
          <cell r="B361">
            <v>5283632</v>
          </cell>
        </row>
        <row r="361">
          <cell r="D361">
            <v>0</v>
          </cell>
          <cell r="E361" t="str">
            <v>外螺纹接头</v>
          </cell>
          <cell r="F361">
            <v>17.49</v>
          </cell>
        </row>
        <row r="362">
          <cell r="B362">
            <v>5269483</v>
          </cell>
        </row>
        <row r="362">
          <cell r="D362">
            <v>0</v>
          </cell>
          <cell r="E362" t="str">
            <v>外螺纹接头</v>
          </cell>
          <cell r="F362">
            <v>17.16</v>
          </cell>
        </row>
        <row r="363">
          <cell r="B363">
            <v>3059308</v>
          </cell>
        </row>
        <row r="363">
          <cell r="D363">
            <v>0</v>
          </cell>
          <cell r="E363" t="str">
            <v>外螺纹接头</v>
          </cell>
          <cell r="F363">
            <v>13.45</v>
          </cell>
        </row>
        <row r="364">
          <cell r="B364">
            <v>3698416</v>
          </cell>
        </row>
        <row r="364">
          <cell r="D364">
            <v>0</v>
          </cell>
          <cell r="E364" t="str">
            <v>外螺纹接头</v>
          </cell>
          <cell r="F364">
            <v>9.42</v>
          </cell>
        </row>
        <row r="365">
          <cell r="B365">
            <v>4940183</v>
          </cell>
        </row>
        <row r="365">
          <cell r="D365" t="str">
            <v>ISF3.8</v>
          </cell>
          <cell r="E365" t="str">
            <v>外螺纹接头</v>
          </cell>
          <cell r="F365">
            <v>13.94</v>
          </cell>
        </row>
        <row r="366">
          <cell r="B366">
            <v>3932445</v>
          </cell>
        </row>
        <row r="366">
          <cell r="D366" t="str">
            <v>ISF3.8</v>
          </cell>
          <cell r="E366" t="str">
            <v>外螺纹接头</v>
          </cell>
          <cell r="F366">
            <v>8.63</v>
          </cell>
        </row>
        <row r="367">
          <cell r="B367">
            <v>5272007</v>
          </cell>
        </row>
        <row r="367">
          <cell r="D367" t="str">
            <v>ISF3.8</v>
          </cell>
          <cell r="E367" t="str">
            <v>推杆</v>
          </cell>
          <cell r="F367">
            <v>11.35</v>
          </cell>
        </row>
        <row r="368">
          <cell r="B368">
            <v>3697564</v>
          </cell>
        </row>
        <row r="368">
          <cell r="D368">
            <v>0</v>
          </cell>
          <cell r="E368" t="str">
            <v>凸轮轴止推瓦</v>
          </cell>
          <cell r="F368">
            <v>37.8828</v>
          </cell>
        </row>
        <row r="369">
          <cell r="B369">
            <v>5258931</v>
          </cell>
        </row>
        <row r="369">
          <cell r="D369" t="str">
            <v>ISF3.8</v>
          </cell>
          <cell r="E369" t="str">
            <v>凸轮轴止推瓦</v>
          </cell>
          <cell r="F369">
            <v>13.78</v>
          </cell>
        </row>
        <row r="370">
          <cell r="B370">
            <v>5255321</v>
          </cell>
        </row>
        <row r="370">
          <cell r="D370" t="str">
            <v>ISF2.8</v>
          </cell>
          <cell r="E370" t="str">
            <v>凸轮轴止推瓦</v>
          </cell>
          <cell r="F370">
            <v>9.74</v>
          </cell>
        </row>
        <row r="371">
          <cell r="B371">
            <v>5664697</v>
          </cell>
          <cell r="C371">
            <v>5255270</v>
          </cell>
          <cell r="D371" t="str">
            <v>ISF2.8</v>
          </cell>
          <cell r="E371" t="str">
            <v>凸轮轴链轮</v>
          </cell>
          <cell r="F371">
            <v>46.91</v>
          </cell>
        </row>
        <row r="372">
          <cell r="B372">
            <v>5521779</v>
          </cell>
        </row>
        <row r="372">
          <cell r="D372" t="str">
            <v>ISF2.8</v>
          </cell>
          <cell r="E372" t="str">
            <v>凸轮轴链轮</v>
          </cell>
          <cell r="F372">
            <v>27.44</v>
          </cell>
        </row>
        <row r="373">
          <cell r="B373">
            <v>5558393</v>
          </cell>
        </row>
        <row r="373">
          <cell r="D373">
            <v>0</v>
          </cell>
          <cell r="E373" t="str">
            <v>凸轮轴盖板密封圈</v>
          </cell>
          <cell r="F373">
            <v>14.64</v>
          </cell>
        </row>
        <row r="374">
          <cell r="B374">
            <v>3695678</v>
          </cell>
        </row>
        <row r="374">
          <cell r="D374">
            <v>0</v>
          </cell>
          <cell r="E374" t="str">
            <v>凸轮轴盖板密封圈</v>
          </cell>
          <cell r="F374">
            <v>12.96</v>
          </cell>
        </row>
        <row r="375">
          <cell r="B375">
            <v>3695901</v>
          </cell>
        </row>
        <row r="375">
          <cell r="D375">
            <v>0</v>
          </cell>
          <cell r="E375" t="str">
            <v>凸轮轴盖板密封圈</v>
          </cell>
          <cell r="F375">
            <v>9.84</v>
          </cell>
        </row>
        <row r="376">
          <cell r="B376">
            <v>3696185</v>
          </cell>
        </row>
        <row r="376">
          <cell r="D376" t="str">
            <v>ISG</v>
          </cell>
          <cell r="E376" t="str">
            <v>凸轮轴盖板</v>
          </cell>
          <cell r="F376">
            <v>31.365</v>
          </cell>
        </row>
        <row r="377">
          <cell r="B377">
            <v>5558378</v>
          </cell>
        </row>
        <row r="377">
          <cell r="D377">
            <v>0</v>
          </cell>
          <cell r="E377" t="str">
            <v>凸轮轴盖板</v>
          </cell>
          <cell r="F377">
            <v>19.8747</v>
          </cell>
        </row>
        <row r="378">
          <cell r="B378">
            <v>3695677</v>
          </cell>
        </row>
        <row r="378">
          <cell r="D378" t="str">
            <v>ISG</v>
          </cell>
          <cell r="E378" t="str">
            <v>凸轮轴盖板</v>
          </cell>
          <cell r="F378">
            <v>16.5393</v>
          </cell>
        </row>
        <row r="379">
          <cell r="B379">
            <v>3697562</v>
          </cell>
        </row>
        <row r="379">
          <cell r="D379">
            <v>0</v>
          </cell>
          <cell r="E379" t="str">
            <v>凸轮轴齿轮</v>
          </cell>
          <cell r="F379">
            <v>425.187</v>
          </cell>
        </row>
        <row r="380">
          <cell r="B380">
            <v>5308432</v>
          </cell>
        </row>
        <row r="380">
          <cell r="D380">
            <v>0</v>
          </cell>
          <cell r="E380" t="str">
            <v>凸轮轴齿轮</v>
          </cell>
          <cell r="F380">
            <v>242.046</v>
          </cell>
        </row>
        <row r="381">
          <cell r="B381">
            <v>3955152</v>
          </cell>
        </row>
        <row r="381">
          <cell r="D381" t="str">
            <v>ISF3.8</v>
          </cell>
          <cell r="E381" t="str">
            <v>凸轮轴齿轮</v>
          </cell>
          <cell r="F381">
            <v>206.63</v>
          </cell>
        </row>
        <row r="382">
          <cell r="B382">
            <v>5537328</v>
          </cell>
        </row>
        <row r="382">
          <cell r="D382" t="str">
            <v>ISG</v>
          </cell>
          <cell r="E382" t="str">
            <v>凸轮轴衬套</v>
          </cell>
          <cell r="F382">
            <v>26.1018</v>
          </cell>
        </row>
        <row r="383">
          <cell r="B383">
            <v>5537329</v>
          </cell>
        </row>
        <row r="383">
          <cell r="D383" t="str">
            <v>ISG</v>
          </cell>
          <cell r="E383" t="str">
            <v>凸轮轴衬套</v>
          </cell>
          <cell r="F383">
            <v>26.1018</v>
          </cell>
        </row>
        <row r="384">
          <cell r="B384">
            <v>5575126</v>
          </cell>
        </row>
        <row r="384">
          <cell r="D384">
            <v>0</v>
          </cell>
          <cell r="E384" t="str">
            <v>凸轮轴</v>
          </cell>
          <cell r="F384">
            <v>1230.82</v>
          </cell>
        </row>
        <row r="385">
          <cell r="B385">
            <v>5558469</v>
          </cell>
        </row>
        <row r="385">
          <cell r="D385">
            <v>0</v>
          </cell>
          <cell r="E385" t="str">
            <v>凸轮轴</v>
          </cell>
          <cell r="F385">
            <v>1230.82</v>
          </cell>
        </row>
        <row r="386">
          <cell r="B386">
            <v>5582666</v>
          </cell>
        </row>
        <row r="386">
          <cell r="D386">
            <v>0</v>
          </cell>
          <cell r="E386" t="str">
            <v>凸轮轴</v>
          </cell>
          <cell r="F386">
            <v>1171.58</v>
          </cell>
        </row>
        <row r="387">
          <cell r="B387">
            <v>3698347</v>
          </cell>
        </row>
        <row r="387">
          <cell r="D387">
            <v>0</v>
          </cell>
          <cell r="E387" t="str">
            <v>凸轮轴</v>
          </cell>
          <cell r="F387">
            <v>1076.98</v>
          </cell>
        </row>
        <row r="388">
          <cell r="B388">
            <v>3697688</v>
          </cell>
        </row>
        <row r="388">
          <cell r="D388" t="str">
            <v>ISG</v>
          </cell>
          <cell r="E388" t="str">
            <v>凸轮轴</v>
          </cell>
          <cell r="F388">
            <v>1025.69</v>
          </cell>
        </row>
        <row r="389">
          <cell r="B389">
            <v>5613952</v>
          </cell>
        </row>
        <row r="389">
          <cell r="D389">
            <v>0</v>
          </cell>
          <cell r="E389" t="str">
            <v>凸轮轴</v>
          </cell>
          <cell r="F389">
            <v>997.68</v>
          </cell>
        </row>
        <row r="390">
          <cell r="B390">
            <v>3697212</v>
          </cell>
        </row>
        <row r="390">
          <cell r="D390">
            <v>0</v>
          </cell>
          <cell r="E390" t="str">
            <v>凸轮轴</v>
          </cell>
          <cell r="F390">
            <v>738.29</v>
          </cell>
        </row>
        <row r="391">
          <cell r="B391">
            <v>4988630</v>
          </cell>
          <cell r="C391">
            <v>4988621</v>
          </cell>
          <cell r="D391" t="str">
            <v>ISF3.8</v>
          </cell>
          <cell r="E391" t="str">
            <v>凸轮轴</v>
          </cell>
          <cell r="F391">
            <v>338.37</v>
          </cell>
        </row>
        <row r="392">
          <cell r="B392">
            <v>5267994</v>
          </cell>
        </row>
        <row r="392">
          <cell r="D392" t="str">
            <v>ISF2.8</v>
          </cell>
          <cell r="E392" t="str">
            <v>凸轮轴</v>
          </cell>
          <cell r="F392">
            <v>256.26</v>
          </cell>
        </row>
        <row r="393">
          <cell r="B393">
            <v>5618919</v>
          </cell>
          <cell r="C393">
            <v>5524077</v>
          </cell>
          <cell r="D393">
            <v>0</v>
          </cell>
          <cell r="E393" t="str">
            <v>凸轮轴</v>
          </cell>
          <cell r="F393">
            <v>239.7261</v>
          </cell>
        </row>
        <row r="394">
          <cell r="B394">
            <v>5712832</v>
          </cell>
        </row>
        <row r="394">
          <cell r="D394">
            <v>0</v>
          </cell>
          <cell r="E394" t="str">
            <v>凸轮轴</v>
          </cell>
          <cell r="F394">
            <v>234.9167</v>
          </cell>
        </row>
        <row r="395">
          <cell r="B395">
            <v>3695996</v>
          </cell>
        </row>
        <row r="395">
          <cell r="D395">
            <v>0</v>
          </cell>
          <cell r="E395" t="str">
            <v>凸轮随动杆滚柱销</v>
          </cell>
          <cell r="F395">
            <v>47.27</v>
          </cell>
        </row>
        <row r="396">
          <cell r="B396">
            <v>5267691</v>
          </cell>
        </row>
        <row r="396">
          <cell r="D396" t="str">
            <v>ISF2.8</v>
          </cell>
          <cell r="E396" t="str">
            <v>凸轮随动杆滚柱销</v>
          </cell>
          <cell r="F396">
            <v>18.828</v>
          </cell>
        </row>
        <row r="397">
          <cell r="B397">
            <v>5255413</v>
          </cell>
        </row>
        <row r="397">
          <cell r="D397" t="str">
            <v>ISF2.8</v>
          </cell>
          <cell r="E397" t="str">
            <v>凸轮随动杆</v>
          </cell>
          <cell r="F397">
            <v>18.5</v>
          </cell>
        </row>
        <row r="398">
          <cell r="B398">
            <v>5296363</v>
          </cell>
        </row>
        <row r="398">
          <cell r="D398" t="str">
            <v>ISF3.8</v>
          </cell>
          <cell r="E398" t="str">
            <v>调压阀</v>
          </cell>
          <cell r="F398">
            <v>107.55</v>
          </cell>
        </row>
        <row r="399">
          <cell r="B399" t="str">
            <v>C3957290</v>
          </cell>
        </row>
        <row r="399">
          <cell r="D399" t="str">
            <v>ISF3.8</v>
          </cell>
          <cell r="E399" t="str">
            <v>调压阀</v>
          </cell>
          <cell r="F399">
            <v>27.7083</v>
          </cell>
        </row>
        <row r="400">
          <cell r="B400">
            <v>5262906</v>
          </cell>
        </row>
        <row r="400">
          <cell r="D400" t="str">
            <v>ISF2.8/3.8</v>
          </cell>
          <cell r="E400" t="str">
            <v>调压阀</v>
          </cell>
          <cell r="F400">
            <v>31.2273</v>
          </cell>
        </row>
        <row r="401">
          <cell r="B401">
            <v>5267080</v>
          </cell>
        </row>
        <row r="401">
          <cell r="D401">
            <v>0</v>
          </cell>
          <cell r="E401" t="str">
            <v>调压阀</v>
          </cell>
          <cell r="F401">
            <v>9.98</v>
          </cell>
        </row>
        <row r="402">
          <cell r="B402">
            <v>5668731</v>
          </cell>
        </row>
        <row r="402">
          <cell r="D402">
            <v>0</v>
          </cell>
          <cell r="E402" t="str">
            <v>锁紧螺母</v>
          </cell>
          <cell r="F402">
            <v>7.58</v>
          </cell>
        </row>
        <row r="403">
          <cell r="B403">
            <v>3696821</v>
          </cell>
        </row>
        <row r="403">
          <cell r="D403">
            <v>0</v>
          </cell>
          <cell r="E403" t="str">
            <v>锁紧垫圈</v>
          </cell>
          <cell r="F403">
            <v>12.1</v>
          </cell>
        </row>
        <row r="404">
          <cell r="B404">
            <v>5377756</v>
          </cell>
        </row>
        <row r="404">
          <cell r="D404">
            <v>0</v>
          </cell>
          <cell r="E404" t="str">
            <v>锁紧垫圈</v>
          </cell>
          <cell r="F404">
            <v>0.91</v>
          </cell>
        </row>
        <row r="405">
          <cell r="B405">
            <v>3698029</v>
          </cell>
        </row>
        <row r="405">
          <cell r="D405">
            <v>0</v>
          </cell>
          <cell r="E405" t="str">
            <v>水旁通管</v>
          </cell>
          <cell r="F405">
            <v>252.7407</v>
          </cell>
        </row>
        <row r="406">
          <cell r="B406">
            <v>5575444</v>
          </cell>
        </row>
        <row r="406">
          <cell r="D406">
            <v>0</v>
          </cell>
          <cell r="E406" t="str">
            <v>水管支架</v>
          </cell>
          <cell r="F406">
            <v>15.31</v>
          </cell>
        </row>
        <row r="407">
          <cell r="B407">
            <v>5337512</v>
          </cell>
        </row>
        <row r="407">
          <cell r="D407">
            <v>0</v>
          </cell>
          <cell r="E407" t="str">
            <v>水管支架</v>
          </cell>
          <cell r="F407">
            <v>11.39</v>
          </cell>
        </row>
        <row r="408">
          <cell r="B408">
            <v>5536685</v>
          </cell>
        </row>
        <row r="408">
          <cell r="D408">
            <v>0</v>
          </cell>
          <cell r="E408" t="str">
            <v>水管支架</v>
          </cell>
          <cell r="F408">
            <v>10.66</v>
          </cell>
        </row>
        <row r="409">
          <cell r="B409">
            <v>3698293</v>
          </cell>
        </row>
        <row r="409">
          <cell r="D409">
            <v>0</v>
          </cell>
          <cell r="E409" t="str">
            <v>水管支架</v>
          </cell>
          <cell r="F409">
            <v>8.65</v>
          </cell>
        </row>
        <row r="410">
          <cell r="B410">
            <v>5269879</v>
          </cell>
        </row>
        <row r="410">
          <cell r="D410" t="str">
            <v>ISF2.8</v>
          </cell>
          <cell r="E410" t="str">
            <v>水封</v>
          </cell>
          <cell r="F410">
            <v>7.84</v>
          </cell>
        </row>
        <row r="411">
          <cell r="B411">
            <v>5582645</v>
          </cell>
        </row>
        <row r="411">
          <cell r="D411">
            <v>0</v>
          </cell>
          <cell r="E411" t="str">
            <v>水泵皮带</v>
          </cell>
          <cell r="F411">
            <v>96.78</v>
          </cell>
        </row>
        <row r="412">
          <cell r="B412">
            <v>5581731</v>
          </cell>
        </row>
        <row r="412">
          <cell r="D412">
            <v>0</v>
          </cell>
          <cell r="E412" t="str">
            <v>水泵皮带</v>
          </cell>
          <cell r="F412">
            <v>86.89</v>
          </cell>
        </row>
        <row r="413">
          <cell r="B413">
            <v>5581884</v>
          </cell>
        </row>
        <row r="413">
          <cell r="D413">
            <v>0</v>
          </cell>
          <cell r="E413" t="str">
            <v>水泵皮带</v>
          </cell>
          <cell r="F413">
            <v>84.12</v>
          </cell>
        </row>
        <row r="414">
          <cell r="B414">
            <v>5582616</v>
          </cell>
        </row>
        <row r="414">
          <cell r="D414">
            <v>0</v>
          </cell>
          <cell r="E414" t="str">
            <v>水泵皮带</v>
          </cell>
          <cell r="F414">
            <v>79.74</v>
          </cell>
        </row>
        <row r="415">
          <cell r="B415">
            <v>3972378</v>
          </cell>
        </row>
        <row r="415">
          <cell r="D415" t="str">
            <v>ISF2.8</v>
          </cell>
          <cell r="E415" t="str">
            <v>水泵皮带</v>
          </cell>
          <cell r="F415">
            <v>74.52</v>
          </cell>
        </row>
        <row r="416">
          <cell r="B416">
            <v>3694082</v>
          </cell>
        </row>
        <row r="416">
          <cell r="D416" t="str">
            <v>ISG</v>
          </cell>
          <cell r="E416" t="str">
            <v>水泵皮带</v>
          </cell>
          <cell r="F416">
            <v>68.39</v>
          </cell>
        </row>
        <row r="417">
          <cell r="B417">
            <v>3694081</v>
          </cell>
        </row>
        <row r="417">
          <cell r="D417" t="str">
            <v>ISG</v>
          </cell>
          <cell r="E417" t="str">
            <v>水泵皮带</v>
          </cell>
          <cell r="F417">
            <v>66.75</v>
          </cell>
        </row>
        <row r="418">
          <cell r="B418">
            <v>3972375</v>
          </cell>
          <cell r="C418" t="str">
            <v>8PK2124</v>
          </cell>
          <cell r="D418" t="str">
            <v>ISF3.8</v>
          </cell>
          <cell r="E418" t="str">
            <v>水泵皮带</v>
          </cell>
          <cell r="F418">
            <v>63.52</v>
          </cell>
        </row>
        <row r="419">
          <cell r="B419">
            <v>5576049</v>
          </cell>
        </row>
        <row r="419">
          <cell r="D419">
            <v>0</v>
          </cell>
          <cell r="E419" t="str">
            <v>水泵皮带</v>
          </cell>
          <cell r="F419">
            <v>58.07</v>
          </cell>
        </row>
        <row r="420">
          <cell r="B420">
            <v>5582656</v>
          </cell>
        </row>
        <row r="420">
          <cell r="D420">
            <v>0</v>
          </cell>
          <cell r="E420" t="str">
            <v>水泵密封圈</v>
          </cell>
          <cell r="F420">
            <v>32.4819</v>
          </cell>
        </row>
        <row r="421">
          <cell r="B421">
            <v>5536658</v>
          </cell>
        </row>
        <row r="421">
          <cell r="D421">
            <v>0</v>
          </cell>
          <cell r="E421" t="str">
            <v>水泵</v>
          </cell>
          <cell r="F421">
            <v>500.9373</v>
          </cell>
        </row>
        <row r="422">
          <cell r="B422">
            <v>5314728</v>
          </cell>
        </row>
        <row r="422">
          <cell r="D422" t="str">
            <v>ISF4.5</v>
          </cell>
          <cell r="E422" t="str">
            <v>水泵</v>
          </cell>
          <cell r="F422">
            <v>423.3663</v>
          </cell>
        </row>
        <row r="423">
          <cell r="B423">
            <v>5576060</v>
          </cell>
        </row>
        <row r="423">
          <cell r="D423">
            <v>0</v>
          </cell>
          <cell r="E423" t="str">
            <v>水泵</v>
          </cell>
          <cell r="F423">
            <v>492.3387</v>
          </cell>
        </row>
        <row r="424">
          <cell r="B424">
            <v>5333035</v>
          </cell>
          <cell r="C424" t="str">
            <v>5263374/5288908/5257960</v>
          </cell>
          <cell r="D424" t="str">
            <v>ISF3.8</v>
          </cell>
          <cell r="E424" t="str">
            <v>水泵</v>
          </cell>
          <cell r="F424">
            <v>383.571</v>
          </cell>
        </row>
        <row r="425">
          <cell r="B425">
            <v>5528262</v>
          </cell>
        </row>
        <row r="425">
          <cell r="D425" t="str">
            <v>ISF2.8</v>
          </cell>
          <cell r="E425" t="str">
            <v>水泵</v>
          </cell>
          <cell r="F425">
            <v>327.3</v>
          </cell>
        </row>
        <row r="426">
          <cell r="B426">
            <v>5333148</v>
          </cell>
          <cell r="C426" t="str">
            <v>5269784/5269897</v>
          </cell>
          <cell r="D426" t="str">
            <v>ISF2.8</v>
          </cell>
          <cell r="E426" t="str">
            <v>水泵</v>
          </cell>
          <cell r="F426">
            <v>360.927</v>
          </cell>
        </row>
        <row r="427">
          <cell r="B427">
            <v>5367519</v>
          </cell>
        </row>
        <row r="427">
          <cell r="D427">
            <v>0</v>
          </cell>
          <cell r="E427" t="str">
            <v>水泵</v>
          </cell>
          <cell r="F427">
            <v>340.7616</v>
          </cell>
        </row>
        <row r="428">
          <cell r="B428">
            <v>3698067</v>
          </cell>
        </row>
        <row r="428">
          <cell r="D428" t="str">
            <v>ISG</v>
          </cell>
          <cell r="E428" t="str">
            <v>水泵</v>
          </cell>
          <cell r="F428">
            <v>387.8856</v>
          </cell>
        </row>
        <row r="429">
          <cell r="B429">
            <v>5295044</v>
          </cell>
        </row>
        <row r="429">
          <cell r="D429">
            <v>0</v>
          </cell>
          <cell r="E429" t="str">
            <v>双头平螺柱</v>
          </cell>
          <cell r="F429">
            <v>25.0767</v>
          </cell>
        </row>
        <row r="430">
          <cell r="B430">
            <v>4931642</v>
          </cell>
        </row>
        <row r="430">
          <cell r="D430">
            <v>0</v>
          </cell>
          <cell r="E430" t="str">
            <v>双头平螺柱</v>
          </cell>
          <cell r="F430">
            <v>20.09</v>
          </cell>
        </row>
        <row r="431">
          <cell r="B431">
            <v>5589799</v>
          </cell>
        </row>
        <row r="431">
          <cell r="D431" t="str">
            <v>ISF2.8</v>
          </cell>
          <cell r="E431" t="str">
            <v>双头平螺柱</v>
          </cell>
          <cell r="F431">
            <v>18.58</v>
          </cell>
        </row>
        <row r="432">
          <cell r="B432">
            <v>3954510</v>
          </cell>
        </row>
        <row r="432">
          <cell r="D432">
            <v>0</v>
          </cell>
          <cell r="E432" t="str">
            <v>双头平螺柱</v>
          </cell>
          <cell r="F432">
            <v>16.24</v>
          </cell>
        </row>
        <row r="433">
          <cell r="B433">
            <v>3934178</v>
          </cell>
        </row>
        <row r="433">
          <cell r="D433" t="str">
            <v>ISF3.8</v>
          </cell>
          <cell r="E433" t="str">
            <v>双头平螺柱</v>
          </cell>
          <cell r="F433">
            <v>9.89</v>
          </cell>
        </row>
        <row r="434">
          <cell r="B434">
            <v>5271442</v>
          </cell>
        </row>
        <row r="434">
          <cell r="D434" t="str">
            <v>ISF2.8</v>
          </cell>
          <cell r="E434" t="str">
            <v>双头平螺柱</v>
          </cell>
          <cell r="F434">
            <v>5.46</v>
          </cell>
        </row>
        <row r="435">
          <cell r="B435">
            <v>5262492</v>
          </cell>
          <cell r="C435">
            <v>3905371</v>
          </cell>
          <cell r="D435">
            <v>0</v>
          </cell>
          <cell r="E435" t="str">
            <v>双头平螺柱</v>
          </cell>
          <cell r="F435">
            <v>4.42</v>
          </cell>
        </row>
        <row r="436">
          <cell r="B436">
            <v>5398174</v>
          </cell>
        </row>
        <row r="436">
          <cell r="D436" t="str">
            <v>ISF3.8</v>
          </cell>
          <cell r="E436" t="str">
            <v>双头平螺柱</v>
          </cell>
          <cell r="F436">
            <v>2.63</v>
          </cell>
        </row>
        <row r="437">
          <cell r="B437">
            <v>5716621</v>
          </cell>
        </row>
        <row r="437">
          <cell r="D437">
            <v>0</v>
          </cell>
          <cell r="E437" t="str">
            <v>双头平螺柱</v>
          </cell>
          <cell r="F437">
            <v>2.61</v>
          </cell>
        </row>
        <row r="438">
          <cell r="B438">
            <v>3282054</v>
          </cell>
        </row>
        <row r="438">
          <cell r="D438">
            <v>0</v>
          </cell>
          <cell r="E438" t="str">
            <v>双头平螺柱</v>
          </cell>
          <cell r="F438">
            <v>3.7</v>
          </cell>
        </row>
        <row r="439">
          <cell r="B439">
            <v>3929755</v>
          </cell>
        </row>
        <row r="439">
          <cell r="D439" t="str">
            <v>ISF2.8</v>
          </cell>
          <cell r="E439" t="str">
            <v>双头平螺柱</v>
          </cell>
          <cell r="F439">
            <v>3.3</v>
          </cell>
        </row>
        <row r="440">
          <cell r="B440">
            <v>5371043</v>
          </cell>
        </row>
        <row r="440">
          <cell r="D440">
            <v>0</v>
          </cell>
          <cell r="E440" t="str">
            <v>双头平螺柱</v>
          </cell>
          <cell r="F440">
            <v>2.09</v>
          </cell>
        </row>
        <row r="441">
          <cell r="B441">
            <v>5293312</v>
          </cell>
        </row>
        <row r="441">
          <cell r="D441">
            <v>0</v>
          </cell>
          <cell r="E441" t="str">
            <v>双头平螺柱</v>
          </cell>
          <cell r="F441">
            <v>1.82</v>
          </cell>
        </row>
        <row r="442">
          <cell r="B442">
            <v>3949419</v>
          </cell>
        </row>
        <row r="442">
          <cell r="D442">
            <v>0</v>
          </cell>
          <cell r="E442" t="str">
            <v>双头平螺柱</v>
          </cell>
          <cell r="F442">
            <v>1.74</v>
          </cell>
        </row>
        <row r="443">
          <cell r="B443">
            <v>5662649</v>
          </cell>
        </row>
        <row r="443">
          <cell r="D443">
            <v>0</v>
          </cell>
          <cell r="E443" t="str">
            <v>双头螺柱</v>
          </cell>
          <cell r="F443">
            <v>2.91</v>
          </cell>
        </row>
        <row r="444">
          <cell r="B444">
            <v>3682941</v>
          </cell>
        </row>
        <row r="444">
          <cell r="D444">
            <v>0</v>
          </cell>
          <cell r="E444" t="str">
            <v>双头六角螺栓</v>
          </cell>
          <cell r="F444">
            <v>6.88</v>
          </cell>
        </row>
        <row r="445">
          <cell r="B445">
            <v>5582031</v>
          </cell>
        </row>
        <row r="445">
          <cell r="D445">
            <v>0</v>
          </cell>
          <cell r="E445" t="str">
            <v>双头法兰螺栓</v>
          </cell>
          <cell r="F445">
            <v>24.28</v>
          </cell>
        </row>
        <row r="446">
          <cell r="B446">
            <v>5367349</v>
          </cell>
        </row>
        <row r="446">
          <cell r="D446">
            <v>0</v>
          </cell>
          <cell r="E446" t="str">
            <v>双头法兰螺栓</v>
          </cell>
          <cell r="F446">
            <v>14.64</v>
          </cell>
        </row>
        <row r="447">
          <cell r="B447">
            <v>3944655</v>
          </cell>
        </row>
        <row r="447">
          <cell r="D447" t="str">
            <v>ISF3.8</v>
          </cell>
          <cell r="E447" t="str">
            <v>双头法兰螺栓</v>
          </cell>
          <cell r="F447">
            <v>9.63</v>
          </cell>
        </row>
        <row r="448">
          <cell r="B448">
            <v>5709366</v>
          </cell>
        </row>
        <row r="448">
          <cell r="D448">
            <v>0</v>
          </cell>
          <cell r="E448" t="str">
            <v>双头法兰螺栓</v>
          </cell>
          <cell r="F448">
            <v>4.86</v>
          </cell>
        </row>
        <row r="449">
          <cell r="B449">
            <v>5398114</v>
          </cell>
        </row>
        <row r="449">
          <cell r="D449">
            <v>0</v>
          </cell>
          <cell r="E449" t="str">
            <v>双头法兰螺栓</v>
          </cell>
          <cell r="F449">
            <v>3.97</v>
          </cell>
        </row>
        <row r="450">
          <cell r="B450">
            <v>5267327</v>
          </cell>
        </row>
        <row r="450">
          <cell r="D450">
            <v>0</v>
          </cell>
          <cell r="E450" t="str">
            <v>双头法兰螺栓</v>
          </cell>
          <cell r="F450">
            <v>3.79</v>
          </cell>
        </row>
        <row r="451">
          <cell r="B451">
            <v>5337514</v>
          </cell>
        </row>
        <row r="451">
          <cell r="D451" t="str">
            <v>ISF2.8</v>
          </cell>
          <cell r="E451" t="str">
            <v>双头法兰螺栓</v>
          </cell>
          <cell r="F451">
            <v>3.76</v>
          </cell>
        </row>
        <row r="452">
          <cell r="B452">
            <v>5585528</v>
          </cell>
        </row>
        <row r="452">
          <cell r="D452" t="str">
            <v>ISF2.8</v>
          </cell>
          <cell r="E452" t="str">
            <v>双头法兰螺栓</v>
          </cell>
          <cell r="F452">
            <v>3.53</v>
          </cell>
        </row>
        <row r="453">
          <cell r="B453">
            <v>3697606</v>
          </cell>
        </row>
        <row r="453">
          <cell r="D453">
            <v>0</v>
          </cell>
          <cell r="E453" t="str">
            <v>双头法兰螺栓</v>
          </cell>
          <cell r="F453">
            <v>3.29</v>
          </cell>
        </row>
        <row r="454">
          <cell r="B454">
            <v>5623125</v>
          </cell>
        </row>
        <row r="454">
          <cell r="D454" t="str">
            <v>ISF2.8</v>
          </cell>
          <cell r="E454" t="str">
            <v>双头法兰螺栓</v>
          </cell>
          <cell r="F454">
            <v>3.18</v>
          </cell>
        </row>
        <row r="455">
          <cell r="B455">
            <v>5612438</v>
          </cell>
        </row>
        <row r="455">
          <cell r="D455">
            <v>0</v>
          </cell>
          <cell r="E455" t="str">
            <v>双头法兰螺栓</v>
          </cell>
          <cell r="F455">
            <v>2.98</v>
          </cell>
        </row>
        <row r="456">
          <cell r="B456">
            <v>5288173</v>
          </cell>
        </row>
        <row r="456">
          <cell r="D456" t="str">
            <v>ISF2.8</v>
          </cell>
          <cell r="E456" t="str">
            <v>双头法兰螺栓</v>
          </cell>
          <cell r="F456">
            <v>4.64</v>
          </cell>
        </row>
        <row r="457">
          <cell r="B457">
            <v>4974204</v>
          </cell>
        </row>
        <row r="457">
          <cell r="D457" t="str">
            <v>ISF3.8</v>
          </cell>
          <cell r="E457" t="str">
            <v>双头法兰螺栓</v>
          </cell>
          <cell r="F457">
            <v>2.96</v>
          </cell>
        </row>
        <row r="458">
          <cell r="B458">
            <v>3943995</v>
          </cell>
        </row>
        <row r="458">
          <cell r="D458">
            <v>0</v>
          </cell>
          <cell r="E458" t="str">
            <v>双头法兰螺栓</v>
          </cell>
          <cell r="F458">
            <v>2.96</v>
          </cell>
        </row>
        <row r="459">
          <cell r="B459">
            <v>4980975</v>
          </cell>
        </row>
        <row r="459">
          <cell r="D459">
            <v>0</v>
          </cell>
          <cell r="E459" t="str">
            <v>双头法兰螺栓</v>
          </cell>
          <cell r="F459">
            <v>2.86</v>
          </cell>
        </row>
        <row r="460">
          <cell r="B460">
            <v>3921816</v>
          </cell>
        </row>
        <row r="460">
          <cell r="D460">
            <v>0</v>
          </cell>
          <cell r="E460" t="str">
            <v>双头法兰螺栓</v>
          </cell>
          <cell r="F460">
            <v>2.65</v>
          </cell>
        </row>
        <row r="461">
          <cell r="B461">
            <v>6313649</v>
          </cell>
          <cell r="C461">
            <v>5269996</v>
          </cell>
          <cell r="D461">
            <v>0</v>
          </cell>
          <cell r="E461" t="str">
            <v>双头法兰螺栓</v>
          </cell>
          <cell r="F461">
            <v>2.49</v>
          </cell>
        </row>
        <row r="462">
          <cell r="B462">
            <v>5289408</v>
          </cell>
        </row>
        <row r="462">
          <cell r="D462">
            <v>0</v>
          </cell>
          <cell r="E462" t="str">
            <v>双头法兰螺栓</v>
          </cell>
          <cell r="F462">
            <v>3.1</v>
          </cell>
        </row>
        <row r="463">
          <cell r="B463">
            <v>3941976</v>
          </cell>
        </row>
        <row r="463">
          <cell r="D463" t="str">
            <v>ISF3.8</v>
          </cell>
          <cell r="E463" t="str">
            <v>双头法兰螺栓</v>
          </cell>
          <cell r="F463">
            <v>3.5</v>
          </cell>
        </row>
        <row r="464">
          <cell r="B464">
            <v>5346347</v>
          </cell>
        </row>
        <row r="464">
          <cell r="D464">
            <v>0</v>
          </cell>
          <cell r="E464" t="str">
            <v>双头法兰螺栓</v>
          </cell>
          <cell r="F464">
            <v>2.16</v>
          </cell>
        </row>
        <row r="465">
          <cell r="B465">
            <v>5347959</v>
          </cell>
        </row>
        <row r="465">
          <cell r="D465" t="str">
            <v>ISF3.8</v>
          </cell>
          <cell r="E465" t="str">
            <v>双头法兰螺栓</v>
          </cell>
          <cell r="F465">
            <v>3.36</v>
          </cell>
        </row>
        <row r="466">
          <cell r="B466">
            <v>3694927</v>
          </cell>
        </row>
        <row r="466">
          <cell r="D466">
            <v>0</v>
          </cell>
          <cell r="E466" t="str">
            <v>双头法兰螺栓</v>
          </cell>
          <cell r="F466">
            <v>2.01</v>
          </cell>
        </row>
        <row r="467">
          <cell r="B467">
            <v>3963749</v>
          </cell>
        </row>
        <row r="467">
          <cell r="D467">
            <v>0</v>
          </cell>
          <cell r="E467" t="str">
            <v>双头法兰螺栓</v>
          </cell>
          <cell r="F467">
            <v>1.69</v>
          </cell>
        </row>
        <row r="468">
          <cell r="B468">
            <v>4940117</v>
          </cell>
        </row>
        <row r="468">
          <cell r="D468" t="str">
            <v>ISF2.8/3.8</v>
          </cell>
          <cell r="E468" t="str">
            <v>双头法兰螺栓</v>
          </cell>
          <cell r="F468">
            <v>2.58</v>
          </cell>
        </row>
        <row r="469">
          <cell r="B469">
            <v>3694070</v>
          </cell>
        </row>
        <row r="469">
          <cell r="D469">
            <v>0</v>
          </cell>
          <cell r="E469" t="str">
            <v>双头法兰螺栓</v>
          </cell>
          <cell r="F469">
            <v>1.42</v>
          </cell>
        </row>
        <row r="470">
          <cell r="B470">
            <v>5582636</v>
          </cell>
        </row>
        <row r="470">
          <cell r="D470">
            <v>0</v>
          </cell>
          <cell r="E470" t="str">
            <v>双头垫圈螺栓</v>
          </cell>
          <cell r="F470">
            <v>30.21</v>
          </cell>
        </row>
        <row r="471">
          <cell r="B471">
            <v>5537324</v>
          </cell>
        </row>
        <row r="471">
          <cell r="D471" t="str">
            <v>ISG</v>
          </cell>
          <cell r="E471" t="str">
            <v>输水歧管</v>
          </cell>
          <cell r="F471">
            <v>235.161</v>
          </cell>
        </row>
        <row r="472">
          <cell r="B472">
            <v>5403435</v>
          </cell>
        </row>
        <row r="472">
          <cell r="D472">
            <v>0</v>
          </cell>
          <cell r="E472" t="str">
            <v>输水连接件</v>
          </cell>
          <cell r="F472">
            <v>69.08</v>
          </cell>
        </row>
        <row r="473">
          <cell r="B473">
            <v>5568701</v>
          </cell>
        </row>
        <row r="473">
          <cell r="D473" t="str">
            <v>ISF2.8</v>
          </cell>
          <cell r="E473" t="str">
            <v>输水连接件</v>
          </cell>
          <cell r="F473">
            <v>37.8063</v>
          </cell>
        </row>
        <row r="474">
          <cell r="B474">
            <v>5397457</v>
          </cell>
        </row>
        <row r="474">
          <cell r="D474">
            <v>0</v>
          </cell>
          <cell r="E474" t="str">
            <v>输水连接件</v>
          </cell>
          <cell r="F474">
            <v>18.1152</v>
          </cell>
        </row>
        <row r="475">
          <cell r="B475">
            <v>5270266</v>
          </cell>
        </row>
        <row r="475">
          <cell r="D475">
            <v>0</v>
          </cell>
          <cell r="E475" t="str">
            <v>输水连接件</v>
          </cell>
          <cell r="F475">
            <v>13.8</v>
          </cell>
        </row>
        <row r="476">
          <cell r="B476">
            <v>5264343</v>
          </cell>
        </row>
        <row r="476">
          <cell r="D476">
            <v>0</v>
          </cell>
          <cell r="E476" t="str">
            <v>输水连接件</v>
          </cell>
          <cell r="F476">
            <v>12.48</v>
          </cell>
        </row>
        <row r="477">
          <cell r="B477">
            <v>5260318</v>
          </cell>
        </row>
        <row r="477">
          <cell r="D477">
            <v>0</v>
          </cell>
          <cell r="E477" t="str">
            <v>输水连接件</v>
          </cell>
          <cell r="F477">
            <v>11.82</v>
          </cell>
        </row>
        <row r="478">
          <cell r="B478">
            <v>5563048</v>
          </cell>
        </row>
        <row r="478">
          <cell r="D478" t="str">
            <v>ISF2.8</v>
          </cell>
          <cell r="E478" t="str">
            <v>输水连接件</v>
          </cell>
          <cell r="F478">
            <v>11.52</v>
          </cell>
        </row>
        <row r="479">
          <cell r="B479">
            <v>5264341</v>
          </cell>
        </row>
        <row r="479">
          <cell r="D479">
            <v>0</v>
          </cell>
          <cell r="E479" t="str">
            <v>输水连接件</v>
          </cell>
          <cell r="F479">
            <v>10.66</v>
          </cell>
        </row>
        <row r="480">
          <cell r="B480">
            <v>3697983</v>
          </cell>
        </row>
        <row r="480">
          <cell r="D480">
            <v>0</v>
          </cell>
          <cell r="E480" t="str">
            <v>输水连接件</v>
          </cell>
          <cell r="F480">
            <v>13.6</v>
          </cell>
        </row>
        <row r="481">
          <cell r="B481">
            <v>5684678</v>
          </cell>
        </row>
        <row r="481">
          <cell r="D481">
            <v>0</v>
          </cell>
          <cell r="E481" t="str">
            <v>输水管</v>
          </cell>
          <cell r="F481">
            <v>421.66</v>
          </cell>
        </row>
        <row r="482">
          <cell r="B482">
            <v>5576030</v>
          </cell>
        </row>
        <row r="482">
          <cell r="D482">
            <v>0</v>
          </cell>
          <cell r="E482" t="str">
            <v>输水管</v>
          </cell>
          <cell r="F482">
            <v>375.39</v>
          </cell>
        </row>
        <row r="483">
          <cell r="B483">
            <v>5576031</v>
          </cell>
        </row>
        <row r="483">
          <cell r="D483">
            <v>0</v>
          </cell>
          <cell r="E483" t="str">
            <v>输水管</v>
          </cell>
          <cell r="F483">
            <v>375.39</v>
          </cell>
        </row>
        <row r="484">
          <cell r="B484">
            <v>5575442</v>
          </cell>
        </row>
        <row r="484">
          <cell r="D484">
            <v>0</v>
          </cell>
          <cell r="E484" t="str">
            <v>输水管</v>
          </cell>
          <cell r="F484">
            <v>310.12</v>
          </cell>
        </row>
        <row r="485">
          <cell r="B485">
            <v>5582256</v>
          </cell>
        </row>
        <row r="485">
          <cell r="D485">
            <v>0</v>
          </cell>
          <cell r="E485" t="str">
            <v>输水管</v>
          </cell>
          <cell r="F485">
            <v>310.12</v>
          </cell>
        </row>
        <row r="486">
          <cell r="B486">
            <v>3698292</v>
          </cell>
        </row>
        <row r="486">
          <cell r="D486">
            <v>0</v>
          </cell>
          <cell r="E486" t="str">
            <v>输水管</v>
          </cell>
          <cell r="F486">
            <v>114.89</v>
          </cell>
        </row>
        <row r="487">
          <cell r="B487">
            <v>5564603</v>
          </cell>
        </row>
        <row r="487">
          <cell r="D487">
            <v>0</v>
          </cell>
          <cell r="E487" t="str">
            <v>输水管</v>
          </cell>
          <cell r="F487">
            <v>91.79</v>
          </cell>
        </row>
        <row r="488">
          <cell r="B488">
            <v>5560939</v>
          </cell>
        </row>
        <row r="488">
          <cell r="D488" t="str">
            <v>ISF2.8</v>
          </cell>
          <cell r="E488" t="str">
            <v>输水管</v>
          </cell>
          <cell r="F488">
            <v>91.3716</v>
          </cell>
        </row>
        <row r="489">
          <cell r="B489">
            <v>5625690</v>
          </cell>
        </row>
        <row r="489">
          <cell r="D489">
            <v>0</v>
          </cell>
          <cell r="E489" t="str">
            <v>输水管</v>
          </cell>
          <cell r="F489">
            <v>91.3716</v>
          </cell>
        </row>
        <row r="490">
          <cell r="B490">
            <v>5667147</v>
          </cell>
        </row>
        <row r="490">
          <cell r="D490">
            <v>0</v>
          </cell>
          <cell r="E490" t="str">
            <v>输水管</v>
          </cell>
          <cell r="F490">
            <v>89.0613</v>
          </cell>
        </row>
        <row r="491">
          <cell r="B491">
            <v>5377718</v>
          </cell>
        </row>
        <row r="491">
          <cell r="D491">
            <v>0</v>
          </cell>
          <cell r="E491" t="str">
            <v>输水管</v>
          </cell>
          <cell r="F491">
            <v>47.85</v>
          </cell>
        </row>
        <row r="492">
          <cell r="B492">
            <v>5564604</v>
          </cell>
        </row>
        <row r="492">
          <cell r="D492">
            <v>0</v>
          </cell>
          <cell r="E492" t="str">
            <v>输水管</v>
          </cell>
          <cell r="F492">
            <v>41.01</v>
          </cell>
        </row>
        <row r="493">
          <cell r="B493">
            <v>5569310</v>
          </cell>
        </row>
        <row r="493">
          <cell r="D493" t="str">
            <v>ISF2.8</v>
          </cell>
          <cell r="E493" t="str">
            <v>输水管</v>
          </cell>
          <cell r="F493">
            <v>38.8773</v>
          </cell>
        </row>
        <row r="494">
          <cell r="B494">
            <v>5560940</v>
          </cell>
        </row>
        <row r="494">
          <cell r="D494" t="str">
            <v>ISF2.8</v>
          </cell>
          <cell r="E494" t="str">
            <v>输水管</v>
          </cell>
          <cell r="F494">
            <v>36.1998</v>
          </cell>
        </row>
        <row r="495">
          <cell r="B495">
            <v>3694690</v>
          </cell>
        </row>
        <row r="495">
          <cell r="D495">
            <v>0</v>
          </cell>
          <cell r="E495" t="str">
            <v>输气连接件</v>
          </cell>
          <cell r="F495">
            <v>353.52</v>
          </cell>
        </row>
        <row r="496">
          <cell r="B496">
            <v>3697752</v>
          </cell>
        </row>
        <row r="496">
          <cell r="D496">
            <v>0</v>
          </cell>
          <cell r="E496" t="str">
            <v>输气连接件</v>
          </cell>
          <cell r="F496">
            <v>253.58</v>
          </cell>
        </row>
        <row r="497">
          <cell r="B497">
            <v>3697754</v>
          </cell>
        </row>
        <row r="497">
          <cell r="D497">
            <v>0</v>
          </cell>
          <cell r="E497" t="str">
            <v>输气连接件</v>
          </cell>
          <cell r="F497">
            <v>240.74</v>
          </cell>
        </row>
        <row r="498">
          <cell r="B498">
            <v>5582638</v>
          </cell>
        </row>
        <row r="498">
          <cell r="D498">
            <v>0</v>
          </cell>
          <cell r="E498" t="str">
            <v>输气连接件</v>
          </cell>
          <cell r="F498">
            <v>197.31</v>
          </cell>
        </row>
        <row r="499">
          <cell r="B499">
            <v>5536916</v>
          </cell>
        </row>
        <row r="499">
          <cell r="D499">
            <v>0</v>
          </cell>
          <cell r="E499" t="str">
            <v>输气连接件</v>
          </cell>
          <cell r="F499">
            <v>222.8751</v>
          </cell>
        </row>
        <row r="500">
          <cell r="B500">
            <v>5404897</v>
          </cell>
        </row>
        <row r="500">
          <cell r="D500">
            <v>0</v>
          </cell>
          <cell r="E500" t="str">
            <v>输气连接件</v>
          </cell>
          <cell r="F500">
            <v>123.6393</v>
          </cell>
        </row>
        <row r="501">
          <cell r="B501">
            <v>5342602</v>
          </cell>
        </row>
        <row r="501">
          <cell r="D501">
            <v>0</v>
          </cell>
          <cell r="E501" t="str">
            <v>输气连接件</v>
          </cell>
          <cell r="F501">
            <v>118.7586</v>
          </cell>
        </row>
        <row r="502">
          <cell r="B502">
            <v>5313900</v>
          </cell>
        </row>
        <row r="502">
          <cell r="D502" t="str">
            <v>ISF3.8</v>
          </cell>
          <cell r="E502" t="str">
            <v>输气连接件</v>
          </cell>
          <cell r="F502">
            <v>114.46</v>
          </cell>
        </row>
        <row r="503">
          <cell r="B503">
            <v>3698038</v>
          </cell>
        </row>
        <row r="503">
          <cell r="D503">
            <v>0</v>
          </cell>
          <cell r="E503" t="str">
            <v>输气连接件</v>
          </cell>
          <cell r="F503">
            <v>121.1607</v>
          </cell>
        </row>
        <row r="504">
          <cell r="B504">
            <v>3698039</v>
          </cell>
        </row>
        <row r="504">
          <cell r="D504">
            <v>0</v>
          </cell>
          <cell r="E504" t="str">
            <v>输气连接件</v>
          </cell>
          <cell r="F504">
            <v>91.85</v>
          </cell>
        </row>
        <row r="505">
          <cell r="B505">
            <v>5319046</v>
          </cell>
        </row>
        <row r="505">
          <cell r="D505">
            <v>0</v>
          </cell>
          <cell r="E505" t="str">
            <v>输气连接件</v>
          </cell>
          <cell r="F505">
            <v>30.366</v>
          </cell>
        </row>
        <row r="506">
          <cell r="B506">
            <v>5266971</v>
          </cell>
        </row>
        <row r="506">
          <cell r="D506">
            <v>0</v>
          </cell>
          <cell r="E506" t="str">
            <v>输气连接件</v>
          </cell>
          <cell r="F506">
            <v>25.91</v>
          </cell>
        </row>
        <row r="507">
          <cell r="B507">
            <v>5575437</v>
          </cell>
        </row>
        <row r="507">
          <cell r="D507">
            <v>0</v>
          </cell>
          <cell r="E507" t="str">
            <v>输气管</v>
          </cell>
          <cell r="F507">
            <v>358.55</v>
          </cell>
        </row>
        <row r="508">
          <cell r="B508">
            <v>5253530</v>
          </cell>
          <cell r="C508">
            <v>5367596</v>
          </cell>
          <cell r="D508">
            <v>0</v>
          </cell>
          <cell r="E508" t="str">
            <v>输气管</v>
          </cell>
          <cell r="F508">
            <v>248.18</v>
          </cell>
        </row>
        <row r="509">
          <cell r="B509">
            <v>5575271</v>
          </cell>
        </row>
        <row r="509">
          <cell r="D509">
            <v>0</v>
          </cell>
          <cell r="E509" t="str">
            <v>输气管</v>
          </cell>
          <cell r="F509">
            <v>199.83</v>
          </cell>
        </row>
        <row r="510">
          <cell r="B510">
            <v>5336189</v>
          </cell>
        </row>
        <row r="510">
          <cell r="D510">
            <v>0</v>
          </cell>
          <cell r="E510" t="str">
            <v>输气管</v>
          </cell>
          <cell r="F510">
            <v>165.4</v>
          </cell>
        </row>
        <row r="511">
          <cell r="B511">
            <v>5295588</v>
          </cell>
        </row>
        <row r="511">
          <cell r="D511">
            <v>0</v>
          </cell>
          <cell r="E511" t="str">
            <v>输气管</v>
          </cell>
          <cell r="F511">
            <v>160.01</v>
          </cell>
        </row>
        <row r="512">
          <cell r="B512">
            <v>5316906</v>
          </cell>
        </row>
        <row r="512">
          <cell r="D512">
            <v>0</v>
          </cell>
          <cell r="E512" t="str">
            <v>输气管</v>
          </cell>
          <cell r="F512">
            <v>140.81</v>
          </cell>
        </row>
        <row r="513">
          <cell r="B513">
            <v>5311346</v>
          </cell>
        </row>
        <row r="513">
          <cell r="D513">
            <v>0</v>
          </cell>
          <cell r="E513" t="str">
            <v>输气管</v>
          </cell>
          <cell r="F513">
            <v>132.678</v>
          </cell>
        </row>
        <row r="514">
          <cell r="B514">
            <v>5312047</v>
          </cell>
        </row>
        <row r="514">
          <cell r="D514">
            <v>0</v>
          </cell>
          <cell r="E514" t="str">
            <v>输气管</v>
          </cell>
          <cell r="F514">
            <v>133.49</v>
          </cell>
        </row>
        <row r="515">
          <cell r="B515">
            <v>5311347</v>
          </cell>
        </row>
        <row r="515">
          <cell r="D515">
            <v>0</v>
          </cell>
          <cell r="E515" t="str">
            <v>输气管</v>
          </cell>
          <cell r="F515">
            <v>114.95</v>
          </cell>
        </row>
        <row r="516">
          <cell r="B516">
            <v>5319062</v>
          </cell>
        </row>
        <row r="516">
          <cell r="D516">
            <v>0</v>
          </cell>
          <cell r="E516" t="str">
            <v>输气管</v>
          </cell>
          <cell r="F516">
            <v>113.9</v>
          </cell>
        </row>
        <row r="517">
          <cell r="B517">
            <v>5303063</v>
          </cell>
        </row>
        <row r="517">
          <cell r="D517">
            <v>0</v>
          </cell>
          <cell r="E517" t="str">
            <v>输气管</v>
          </cell>
          <cell r="F517">
            <v>113.9</v>
          </cell>
        </row>
        <row r="518">
          <cell r="B518">
            <v>3693959</v>
          </cell>
        </row>
        <row r="518">
          <cell r="D518">
            <v>0</v>
          </cell>
          <cell r="E518" t="str">
            <v>输气管</v>
          </cell>
          <cell r="F518">
            <v>113.23</v>
          </cell>
        </row>
        <row r="519">
          <cell r="B519">
            <v>5293764</v>
          </cell>
        </row>
        <row r="519">
          <cell r="D519">
            <v>0</v>
          </cell>
          <cell r="E519" t="str">
            <v>输气管</v>
          </cell>
          <cell r="F519">
            <v>102.8772</v>
          </cell>
        </row>
        <row r="520">
          <cell r="B520">
            <v>4982765</v>
          </cell>
        </row>
        <row r="520">
          <cell r="D520">
            <v>0</v>
          </cell>
          <cell r="E520" t="str">
            <v>输气管</v>
          </cell>
          <cell r="F520">
            <v>88.8318</v>
          </cell>
        </row>
        <row r="521">
          <cell r="B521">
            <v>4946412</v>
          </cell>
        </row>
        <row r="521">
          <cell r="D521" t="str">
            <v>ISF2.8</v>
          </cell>
          <cell r="E521" t="str">
            <v>输气管</v>
          </cell>
          <cell r="F521">
            <v>74.62</v>
          </cell>
        </row>
        <row r="522">
          <cell r="B522">
            <v>5253505</v>
          </cell>
        </row>
        <row r="522">
          <cell r="D522">
            <v>0</v>
          </cell>
          <cell r="E522" t="str">
            <v>输气管</v>
          </cell>
          <cell r="F522">
            <v>78.06</v>
          </cell>
        </row>
        <row r="523">
          <cell r="B523">
            <v>5342284</v>
          </cell>
        </row>
        <row r="523">
          <cell r="D523">
            <v>0</v>
          </cell>
          <cell r="E523" t="str">
            <v>输气管</v>
          </cell>
          <cell r="F523">
            <v>76.25</v>
          </cell>
        </row>
        <row r="524">
          <cell r="B524">
            <v>5264658</v>
          </cell>
        </row>
        <row r="524">
          <cell r="D524" t="str">
            <v>ISF2.8</v>
          </cell>
          <cell r="E524" t="str">
            <v>输气管</v>
          </cell>
          <cell r="F524">
            <v>73.26</v>
          </cell>
        </row>
        <row r="525">
          <cell r="B525">
            <v>5296567</v>
          </cell>
        </row>
        <row r="525">
          <cell r="D525">
            <v>0</v>
          </cell>
          <cell r="E525" t="str">
            <v>输气管</v>
          </cell>
          <cell r="F525">
            <v>70.2423</v>
          </cell>
        </row>
        <row r="526">
          <cell r="B526">
            <v>5314077</v>
          </cell>
        </row>
        <row r="526">
          <cell r="D526">
            <v>0</v>
          </cell>
          <cell r="E526" t="str">
            <v>输气管</v>
          </cell>
          <cell r="F526">
            <v>64.67</v>
          </cell>
        </row>
        <row r="527">
          <cell r="B527">
            <v>5405289</v>
          </cell>
        </row>
        <row r="527">
          <cell r="D527">
            <v>0</v>
          </cell>
          <cell r="E527" t="str">
            <v>输气管</v>
          </cell>
          <cell r="F527">
            <v>63.6174</v>
          </cell>
        </row>
        <row r="528">
          <cell r="B528">
            <v>5267323</v>
          </cell>
        </row>
        <row r="528">
          <cell r="D528" t="str">
            <v>ISF2.8</v>
          </cell>
          <cell r="E528" t="str">
            <v>输气管</v>
          </cell>
          <cell r="F528">
            <v>61.21</v>
          </cell>
        </row>
        <row r="529">
          <cell r="B529">
            <v>5267440</v>
          </cell>
        </row>
        <row r="529">
          <cell r="D529" t="str">
            <v>ISF2.8</v>
          </cell>
          <cell r="E529" t="str">
            <v>输气管</v>
          </cell>
          <cell r="F529">
            <v>54.14</v>
          </cell>
        </row>
        <row r="530">
          <cell r="B530">
            <v>5302519</v>
          </cell>
        </row>
        <row r="530">
          <cell r="D530">
            <v>0</v>
          </cell>
          <cell r="E530" t="str">
            <v>输气管</v>
          </cell>
          <cell r="F530">
            <v>37.18</v>
          </cell>
        </row>
        <row r="531">
          <cell r="B531">
            <v>4933777</v>
          </cell>
        </row>
        <row r="531">
          <cell r="D531" t="str">
            <v>ISF3.8</v>
          </cell>
          <cell r="E531" t="str">
            <v>输气管</v>
          </cell>
          <cell r="F531">
            <v>32.1453</v>
          </cell>
        </row>
        <row r="532">
          <cell r="B532">
            <v>3698400</v>
          </cell>
        </row>
        <row r="532">
          <cell r="D532">
            <v>0</v>
          </cell>
          <cell r="E532" t="str">
            <v>适配器连接件</v>
          </cell>
          <cell r="F532">
            <v>83.89</v>
          </cell>
        </row>
        <row r="533">
          <cell r="B533">
            <v>3695948</v>
          </cell>
        </row>
        <row r="533">
          <cell r="D533">
            <v>0</v>
          </cell>
          <cell r="E533" t="str">
            <v>适配器连接件</v>
          </cell>
          <cell r="F533">
            <v>24.83</v>
          </cell>
        </row>
        <row r="534">
          <cell r="B534">
            <v>3698352</v>
          </cell>
        </row>
        <row r="534">
          <cell r="D534">
            <v>0</v>
          </cell>
          <cell r="E534" t="str">
            <v>适配器连接件</v>
          </cell>
          <cell r="F534">
            <v>28.2744</v>
          </cell>
        </row>
        <row r="535">
          <cell r="B535">
            <v>3695820</v>
          </cell>
        </row>
        <row r="535">
          <cell r="D535">
            <v>0</v>
          </cell>
          <cell r="E535" t="str">
            <v>适配器连接件</v>
          </cell>
          <cell r="F535">
            <v>22.44</v>
          </cell>
        </row>
        <row r="536">
          <cell r="B536">
            <v>3697006</v>
          </cell>
        </row>
        <row r="536">
          <cell r="D536">
            <v>0</v>
          </cell>
          <cell r="E536" t="str">
            <v>适配器连接件</v>
          </cell>
          <cell r="F536">
            <v>19.66</v>
          </cell>
        </row>
        <row r="537">
          <cell r="B537">
            <v>3698355</v>
          </cell>
        </row>
        <row r="537">
          <cell r="D537">
            <v>0</v>
          </cell>
          <cell r="E537" t="str">
            <v>适配器连接件</v>
          </cell>
          <cell r="F537">
            <v>16.49</v>
          </cell>
        </row>
        <row r="538">
          <cell r="B538">
            <v>3696996</v>
          </cell>
        </row>
        <row r="538">
          <cell r="D538" t="str">
            <v>ISG</v>
          </cell>
          <cell r="E538" t="str">
            <v>适配器连接件</v>
          </cell>
          <cell r="F538">
            <v>19.48</v>
          </cell>
        </row>
        <row r="539">
          <cell r="B539">
            <v>3903834</v>
          </cell>
        </row>
        <row r="539">
          <cell r="D539" t="str">
            <v>ISF2.8/3.8</v>
          </cell>
          <cell r="E539" t="str">
            <v>十二角头螺栓</v>
          </cell>
          <cell r="F539">
            <v>3.08</v>
          </cell>
        </row>
        <row r="540">
          <cell r="B540">
            <v>5263462</v>
          </cell>
        </row>
        <row r="540">
          <cell r="D540">
            <v>0</v>
          </cell>
          <cell r="E540" t="str">
            <v>十二角螺母</v>
          </cell>
          <cell r="F540">
            <v>3.75</v>
          </cell>
        </row>
        <row r="541">
          <cell r="B541">
            <v>4948504</v>
          </cell>
        </row>
        <row r="541">
          <cell r="D541" t="str">
            <v>ISF3.8</v>
          </cell>
          <cell r="E541" t="str">
            <v>上主轴瓦</v>
          </cell>
          <cell r="F541">
            <v>8.42</v>
          </cell>
        </row>
        <row r="542">
          <cell r="B542">
            <v>4942448</v>
          </cell>
        </row>
        <row r="542">
          <cell r="D542" t="str">
            <v>ISF3.8</v>
          </cell>
          <cell r="E542" t="str">
            <v>三通接头</v>
          </cell>
          <cell r="F542">
            <v>9.71</v>
          </cell>
        </row>
        <row r="543">
          <cell r="B543">
            <v>5259240</v>
          </cell>
        </row>
        <row r="543">
          <cell r="D543">
            <v>0</v>
          </cell>
          <cell r="E543" t="str">
            <v>三通接头</v>
          </cell>
          <cell r="F543">
            <v>1.89</v>
          </cell>
        </row>
        <row r="544">
          <cell r="B544">
            <v>5349702</v>
          </cell>
        </row>
        <row r="544">
          <cell r="D544">
            <v>0</v>
          </cell>
          <cell r="E544" t="str">
            <v>软管支架</v>
          </cell>
          <cell r="F544">
            <v>6.05</v>
          </cell>
        </row>
        <row r="545">
          <cell r="B545">
            <v>5310406</v>
          </cell>
        </row>
        <row r="545">
          <cell r="D545">
            <v>0</v>
          </cell>
          <cell r="E545" t="str">
            <v>软管</v>
          </cell>
          <cell r="F545">
            <v>13.27</v>
          </cell>
        </row>
        <row r="546">
          <cell r="B546">
            <v>3400715</v>
          </cell>
        </row>
        <row r="546">
          <cell r="D546">
            <v>0</v>
          </cell>
          <cell r="E546" t="str">
            <v>柔性软管</v>
          </cell>
          <cell r="F546">
            <v>735.78</v>
          </cell>
        </row>
        <row r="547">
          <cell r="B547">
            <v>3697812</v>
          </cell>
        </row>
        <row r="547">
          <cell r="D547">
            <v>0</v>
          </cell>
          <cell r="E547" t="str">
            <v>柔性软管</v>
          </cell>
          <cell r="F547">
            <v>691.23</v>
          </cell>
        </row>
        <row r="548">
          <cell r="B548">
            <v>5346199</v>
          </cell>
        </row>
        <row r="548">
          <cell r="D548">
            <v>0</v>
          </cell>
          <cell r="E548" t="str">
            <v>柔性软管</v>
          </cell>
          <cell r="F548">
            <v>102.4794</v>
          </cell>
        </row>
        <row r="549">
          <cell r="B549">
            <v>3935821</v>
          </cell>
        </row>
        <row r="549">
          <cell r="D549">
            <v>0</v>
          </cell>
          <cell r="E549" t="str">
            <v>柔性软管</v>
          </cell>
          <cell r="F549">
            <v>52.8768</v>
          </cell>
        </row>
        <row r="550">
          <cell r="B550">
            <v>5302023</v>
          </cell>
        </row>
        <row r="550">
          <cell r="D550">
            <v>0</v>
          </cell>
          <cell r="E550" t="str">
            <v>柔性软管</v>
          </cell>
          <cell r="F550">
            <v>52.5861</v>
          </cell>
        </row>
        <row r="551">
          <cell r="B551">
            <v>5263871</v>
          </cell>
        </row>
        <row r="551">
          <cell r="D551">
            <v>0</v>
          </cell>
          <cell r="E551" t="str">
            <v>柔性软管</v>
          </cell>
          <cell r="F551">
            <v>52.5402</v>
          </cell>
        </row>
        <row r="552">
          <cell r="B552">
            <v>5282268</v>
          </cell>
        </row>
        <row r="552">
          <cell r="D552">
            <v>0</v>
          </cell>
          <cell r="E552" t="str">
            <v>柔性软管</v>
          </cell>
          <cell r="F552">
            <v>43.5132</v>
          </cell>
        </row>
        <row r="553">
          <cell r="B553">
            <v>5260415</v>
          </cell>
        </row>
        <row r="553">
          <cell r="D553" t="str">
            <v>ISF3.8</v>
          </cell>
          <cell r="E553" t="str">
            <v>柔性软管</v>
          </cell>
          <cell r="F553">
            <v>39.04</v>
          </cell>
        </row>
        <row r="554">
          <cell r="B554">
            <v>5303637</v>
          </cell>
        </row>
        <row r="554">
          <cell r="D554">
            <v>0</v>
          </cell>
          <cell r="E554" t="str">
            <v>柔性软管</v>
          </cell>
          <cell r="F554">
            <v>35.9091</v>
          </cell>
        </row>
        <row r="555">
          <cell r="B555">
            <v>5661960</v>
          </cell>
        </row>
        <row r="555">
          <cell r="D555">
            <v>0</v>
          </cell>
          <cell r="E555" t="str">
            <v>柔性盘</v>
          </cell>
          <cell r="F555">
            <v>251.7156</v>
          </cell>
        </row>
        <row r="556">
          <cell r="B556">
            <v>6381181</v>
          </cell>
        </row>
        <row r="556">
          <cell r="D556">
            <v>0</v>
          </cell>
          <cell r="E556" t="str">
            <v>燃油输油管</v>
          </cell>
          <cell r="F556">
            <v>113.4801</v>
          </cell>
        </row>
        <row r="557">
          <cell r="B557">
            <v>5628100</v>
          </cell>
        </row>
        <row r="557">
          <cell r="D557">
            <v>0</v>
          </cell>
          <cell r="E557" t="str">
            <v>燃油输油管</v>
          </cell>
          <cell r="F557">
            <v>76.23</v>
          </cell>
        </row>
        <row r="558">
          <cell r="B558">
            <v>5561403</v>
          </cell>
        </row>
        <row r="558">
          <cell r="D558">
            <v>0</v>
          </cell>
          <cell r="E558" t="str">
            <v>燃油滤清器总成</v>
          </cell>
          <cell r="F558">
            <v>232.0551</v>
          </cell>
        </row>
        <row r="559">
          <cell r="B559">
            <v>5262312</v>
          </cell>
        </row>
        <row r="559">
          <cell r="D559" t="str">
            <v>ISF3.8</v>
          </cell>
          <cell r="E559" t="str">
            <v>燃油滤清器(国四康瑞H3)</v>
          </cell>
          <cell r="F559">
            <v>148.104</v>
          </cell>
        </row>
        <row r="560">
          <cell r="B560">
            <v>5396530</v>
          </cell>
        </row>
        <row r="560">
          <cell r="D560">
            <v>0</v>
          </cell>
          <cell r="E560" t="str">
            <v>燃油滤清器</v>
          </cell>
          <cell r="F560">
            <v>1314.94</v>
          </cell>
        </row>
        <row r="561">
          <cell r="B561">
            <v>5343577</v>
          </cell>
        </row>
        <row r="561">
          <cell r="D561">
            <v>0</v>
          </cell>
          <cell r="E561" t="str">
            <v>燃油滤清器</v>
          </cell>
          <cell r="F561">
            <v>1187.04</v>
          </cell>
        </row>
        <row r="562">
          <cell r="B562">
            <v>5303404</v>
          </cell>
        </row>
        <row r="562">
          <cell r="D562">
            <v>0</v>
          </cell>
          <cell r="E562" t="str">
            <v>燃油滤清器</v>
          </cell>
          <cell r="F562">
            <v>439.88</v>
          </cell>
        </row>
        <row r="563">
          <cell r="B563">
            <v>5346605</v>
          </cell>
        </row>
        <row r="563">
          <cell r="D563" t="str">
            <v>ISF3.8</v>
          </cell>
          <cell r="E563" t="str">
            <v>燃油滤清器</v>
          </cell>
          <cell r="F563">
            <v>178.4592</v>
          </cell>
        </row>
        <row r="564">
          <cell r="B564">
            <v>5371061</v>
          </cell>
        </row>
        <row r="564">
          <cell r="D564">
            <v>0</v>
          </cell>
          <cell r="E564" t="str">
            <v>燃油流量阀</v>
          </cell>
          <cell r="F564">
            <v>1003.8636</v>
          </cell>
        </row>
        <row r="565">
          <cell r="B565">
            <v>5406056</v>
          </cell>
        </row>
        <row r="565">
          <cell r="D565">
            <v>0</v>
          </cell>
          <cell r="E565" t="str">
            <v>燃油控制阀修理包</v>
          </cell>
          <cell r="F565">
            <v>498.6117</v>
          </cell>
        </row>
        <row r="566">
          <cell r="B566">
            <v>5529561</v>
          </cell>
        </row>
        <row r="566">
          <cell r="D566" t="str">
            <v>ISF2.8</v>
          </cell>
          <cell r="E566" t="str">
            <v>燃油回油管</v>
          </cell>
          <cell r="F566">
            <v>280.06</v>
          </cell>
        </row>
        <row r="567">
          <cell r="B567">
            <v>5313927</v>
          </cell>
        </row>
        <row r="567">
          <cell r="D567">
            <v>0</v>
          </cell>
          <cell r="E567" t="str">
            <v>燃油回油管</v>
          </cell>
          <cell r="F567">
            <v>264.12</v>
          </cell>
        </row>
        <row r="568">
          <cell r="B568">
            <v>5343040</v>
          </cell>
        </row>
        <row r="568">
          <cell r="D568">
            <v>0</v>
          </cell>
          <cell r="E568" t="str">
            <v>燃油回油管</v>
          </cell>
          <cell r="F568">
            <v>247.5</v>
          </cell>
        </row>
        <row r="569">
          <cell r="B569">
            <v>5399578</v>
          </cell>
        </row>
        <row r="569">
          <cell r="D569">
            <v>0</v>
          </cell>
          <cell r="E569" t="str">
            <v>燃油回油管</v>
          </cell>
          <cell r="F569">
            <v>243.1017</v>
          </cell>
        </row>
        <row r="570">
          <cell r="B570">
            <v>5301534</v>
          </cell>
          <cell r="C570">
            <v>5271464</v>
          </cell>
          <cell r="D570" t="str">
            <v>ISF2.8</v>
          </cell>
          <cell r="E570" t="str">
            <v>燃油回油管</v>
          </cell>
          <cell r="F570">
            <v>233.172</v>
          </cell>
        </row>
        <row r="571">
          <cell r="B571">
            <v>5529559</v>
          </cell>
        </row>
        <row r="571">
          <cell r="D571">
            <v>0</v>
          </cell>
          <cell r="E571" t="str">
            <v>燃油回油管</v>
          </cell>
          <cell r="F571">
            <v>217.8108</v>
          </cell>
        </row>
        <row r="572">
          <cell r="B572">
            <v>5529560</v>
          </cell>
        </row>
        <row r="572">
          <cell r="D572">
            <v>0</v>
          </cell>
          <cell r="E572" t="str">
            <v>燃油回油管</v>
          </cell>
          <cell r="F572">
            <v>205.785</v>
          </cell>
        </row>
        <row r="573">
          <cell r="B573">
            <v>5628097</v>
          </cell>
        </row>
        <row r="573">
          <cell r="D573">
            <v>0</v>
          </cell>
          <cell r="E573" t="str">
            <v>燃油回油管</v>
          </cell>
          <cell r="F573">
            <v>200.41</v>
          </cell>
        </row>
        <row r="574">
          <cell r="B574">
            <v>5474602</v>
          </cell>
        </row>
        <row r="574">
          <cell r="D574">
            <v>0</v>
          </cell>
          <cell r="E574" t="str">
            <v>燃油回油管</v>
          </cell>
          <cell r="F574">
            <v>203.3829</v>
          </cell>
        </row>
        <row r="575">
          <cell r="B575">
            <v>5527909</v>
          </cell>
        </row>
        <row r="575">
          <cell r="D575">
            <v>0</v>
          </cell>
          <cell r="E575" t="str">
            <v>燃油回油管</v>
          </cell>
          <cell r="F575">
            <v>188.72</v>
          </cell>
        </row>
        <row r="576">
          <cell r="B576">
            <v>5337062</v>
          </cell>
        </row>
        <row r="576">
          <cell r="D576" t="str">
            <v>ISF3.8</v>
          </cell>
          <cell r="E576" t="str">
            <v>燃油回油管</v>
          </cell>
          <cell r="F576">
            <v>181.9782</v>
          </cell>
        </row>
        <row r="577">
          <cell r="B577">
            <v>5486254</v>
          </cell>
        </row>
        <row r="577">
          <cell r="D577">
            <v>0</v>
          </cell>
          <cell r="E577" t="str">
            <v>燃油回油管</v>
          </cell>
          <cell r="F577">
            <v>175.73</v>
          </cell>
        </row>
        <row r="578">
          <cell r="B578">
            <v>5583726</v>
          </cell>
        </row>
        <row r="578">
          <cell r="D578">
            <v>0</v>
          </cell>
          <cell r="E578" t="str">
            <v>燃油回油管</v>
          </cell>
          <cell r="F578">
            <v>152.75</v>
          </cell>
        </row>
        <row r="579">
          <cell r="B579">
            <v>3697317</v>
          </cell>
        </row>
        <row r="579">
          <cell r="D579" t="str">
            <v>ISG</v>
          </cell>
          <cell r="E579" t="str">
            <v>燃油回油管</v>
          </cell>
          <cell r="F579">
            <v>175.032</v>
          </cell>
        </row>
        <row r="580">
          <cell r="B580">
            <v>5584134</v>
          </cell>
        </row>
        <row r="580">
          <cell r="D580">
            <v>0</v>
          </cell>
          <cell r="E580" t="str">
            <v>燃油回油管</v>
          </cell>
          <cell r="F580">
            <v>125.4294</v>
          </cell>
        </row>
        <row r="581">
          <cell r="B581">
            <v>5270253</v>
          </cell>
        </row>
        <row r="581">
          <cell r="D581">
            <v>0</v>
          </cell>
          <cell r="E581" t="str">
            <v>燃油回油管</v>
          </cell>
          <cell r="F581">
            <v>115.08</v>
          </cell>
        </row>
        <row r="582">
          <cell r="B582">
            <v>5303719</v>
          </cell>
        </row>
        <row r="582">
          <cell r="D582">
            <v>0</v>
          </cell>
          <cell r="E582" t="str">
            <v>燃油回油管</v>
          </cell>
          <cell r="F582">
            <v>90.28</v>
          </cell>
        </row>
        <row r="583">
          <cell r="B583">
            <v>5293769</v>
          </cell>
        </row>
        <row r="583">
          <cell r="D583" t="str">
            <v>ISF3.8</v>
          </cell>
          <cell r="E583" t="str">
            <v>燃油回油管</v>
          </cell>
          <cell r="F583">
            <v>98.532</v>
          </cell>
        </row>
        <row r="584">
          <cell r="B584">
            <v>4990798</v>
          </cell>
        </row>
        <row r="584">
          <cell r="D584" t="str">
            <v>ISF3.8</v>
          </cell>
          <cell r="E584" t="str">
            <v>燃油回油管</v>
          </cell>
          <cell r="F584">
            <v>75.57</v>
          </cell>
        </row>
        <row r="585">
          <cell r="B585">
            <v>5442631</v>
          </cell>
        </row>
        <row r="585">
          <cell r="D585">
            <v>0</v>
          </cell>
          <cell r="E585" t="str">
            <v>燃油管支架</v>
          </cell>
          <cell r="F585">
            <v>14.41</v>
          </cell>
        </row>
        <row r="586">
          <cell r="B586">
            <v>5583453</v>
          </cell>
        </row>
        <row r="586">
          <cell r="D586">
            <v>0</v>
          </cell>
          <cell r="E586" t="str">
            <v>燃油管支架</v>
          </cell>
          <cell r="F586">
            <v>6.76</v>
          </cell>
        </row>
        <row r="587">
          <cell r="B587">
            <v>5303772</v>
          </cell>
        </row>
        <row r="587">
          <cell r="D587">
            <v>0</v>
          </cell>
          <cell r="E587" t="str">
            <v>燃油管路支架</v>
          </cell>
          <cell r="F587">
            <v>7.77</v>
          </cell>
        </row>
        <row r="588">
          <cell r="B588">
            <v>3695683</v>
          </cell>
        </row>
        <row r="588">
          <cell r="D588">
            <v>0</v>
          </cell>
          <cell r="E588" t="str">
            <v>燃油供油管</v>
          </cell>
          <cell r="F588">
            <v>139.88</v>
          </cell>
        </row>
        <row r="589">
          <cell r="B589">
            <v>3693744</v>
          </cell>
        </row>
        <row r="589">
          <cell r="D589">
            <v>0</v>
          </cell>
          <cell r="E589" t="str">
            <v>燃油供油管</v>
          </cell>
          <cell r="F589">
            <v>137.7</v>
          </cell>
        </row>
        <row r="590">
          <cell r="B590">
            <v>5685237</v>
          </cell>
        </row>
        <row r="590">
          <cell r="D590">
            <v>0</v>
          </cell>
          <cell r="E590" t="str">
            <v>燃油供油管</v>
          </cell>
          <cell r="F590">
            <v>109.65</v>
          </cell>
        </row>
        <row r="591">
          <cell r="B591">
            <v>6381182</v>
          </cell>
        </row>
        <row r="591">
          <cell r="D591">
            <v>0</v>
          </cell>
          <cell r="E591" t="str">
            <v>燃油供油管</v>
          </cell>
          <cell r="F591">
            <v>107.8038</v>
          </cell>
        </row>
        <row r="592">
          <cell r="B592">
            <v>5486912</v>
          </cell>
        </row>
        <row r="592">
          <cell r="D592">
            <v>0</v>
          </cell>
          <cell r="E592" t="str">
            <v>燃油供油管</v>
          </cell>
          <cell r="F592">
            <v>103.46</v>
          </cell>
        </row>
        <row r="593">
          <cell r="B593">
            <v>5585632</v>
          </cell>
        </row>
        <row r="593">
          <cell r="D593">
            <v>0</v>
          </cell>
          <cell r="E593" t="str">
            <v>燃油供油管</v>
          </cell>
          <cell r="F593">
            <v>88.71</v>
          </cell>
        </row>
        <row r="594">
          <cell r="B594">
            <v>3694657</v>
          </cell>
        </row>
        <row r="594">
          <cell r="D594">
            <v>0</v>
          </cell>
          <cell r="E594" t="str">
            <v>燃油供油管</v>
          </cell>
          <cell r="F594">
            <v>104.2848</v>
          </cell>
        </row>
        <row r="595">
          <cell r="B595">
            <v>5570807</v>
          </cell>
        </row>
        <row r="595">
          <cell r="D595">
            <v>0</v>
          </cell>
          <cell r="E595" t="str">
            <v>燃油供油管</v>
          </cell>
          <cell r="F595">
            <v>81.12</v>
          </cell>
        </row>
        <row r="596">
          <cell r="B596">
            <v>3698449</v>
          </cell>
        </row>
        <row r="596">
          <cell r="D596">
            <v>0</v>
          </cell>
          <cell r="E596" t="str">
            <v>燃油供油管</v>
          </cell>
          <cell r="F596">
            <v>94.8906</v>
          </cell>
        </row>
        <row r="597">
          <cell r="B597">
            <v>5486926</v>
          </cell>
        </row>
        <row r="597">
          <cell r="D597">
            <v>0</v>
          </cell>
          <cell r="E597" t="str">
            <v>燃油供油管</v>
          </cell>
          <cell r="F597">
            <v>79.04</v>
          </cell>
        </row>
        <row r="598">
          <cell r="B598">
            <v>5321114</v>
          </cell>
        </row>
        <row r="598">
          <cell r="D598" t="str">
            <v>ISF2.8</v>
          </cell>
          <cell r="E598" t="str">
            <v>燃油供油管</v>
          </cell>
          <cell r="F598">
            <v>78.59</v>
          </cell>
        </row>
        <row r="599">
          <cell r="B599">
            <v>5570841</v>
          </cell>
        </row>
        <row r="599">
          <cell r="D599" t="str">
            <v>ISF2.8</v>
          </cell>
          <cell r="E599" t="str">
            <v>燃油供油管</v>
          </cell>
          <cell r="F599">
            <v>79.2693</v>
          </cell>
        </row>
        <row r="600">
          <cell r="B600">
            <v>5486925</v>
          </cell>
        </row>
        <row r="600">
          <cell r="D600">
            <v>0</v>
          </cell>
          <cell r="E600" t="str">
            <v>燃油供油管</v>
          </cell>
          <cell r="F600">
            <v>62.99</v>
          </cell>
        </row>
        <row r="601">
          <cell r="B601">
            <v>5486927</v>
          </cell>
        </row>
        <row r="601">
          <cell r="D601">
            <v>0</v>
          </cell>
          <cell r="E601" t="str">
            <v>燃油供油管</v>
          </cell>
          <cell r="F601">
            <v>58.87</v>
          </cell>
        </row>
        <row r="602">
          <cell r="B602">
            <v>5366783</v>
          </cell>
        </row>
        <row r="602">
          <cell r="D602">
            <v>0</v>
          </cell>
          <cell r="E602" t="str">
            <v>燃油供油管</v>
          </cell>
          <cell r="F602">
            <v>56.69</v>
          </cell>
        </row>
        <row r="603">
          <cell r="B603">
            <v>5305996</v>
          </cell>
        </row>
        <row r="603">
          <cell r="D603">
            <v>0</v>
          </cell>
          <cell r="E603" t="str">
            <v>燃油供油管</v>
          </cell>
          <cell r="F603">
            <v>55.4625</v>
          </cell>
        </row>
        <row r="604">
          <cell r="B604">
            <v>5303401</v>
          </cell>
        </row>
        <row r="604">
          <cell r="D604">
            <v>0</v>
          </cell>
          <cell r="E604" t="str">
            <v>燃油供油管</v>
          </cell>
          <cell r="F604">
            <v>52.07</v>
          </cell>
        </row>
        <row r="605">
          <cell r="B605">
            <v>5305994</v>
          </cell>
        </row>
        <row r="605">
          <cell r="D605">
            <v>0</v>
          </cell>
          <cell r="E605" t="str">
            <v>燃油供油管</v>
          </cell>
          <cell r="F605">
            <v>51.3621</v>
          </cell>
        </row>
        <row r="606">
          <cell r="B606">
            <v>5529537</v>
          </cell>
        </row>
        <row r="606">
          <cell r="D606" t="str">
            <v>ISF2.8</v>
          </cell>
          <cell r="E606" t="str">
            <v>燃油供油管</v>
          </cell>
          <cell r="F606">
            <v>46.35</v>
          </cell>
        </row>
        <row r="607">
          <cell r="B607">
            <v>5346112</v>
          </cell>
        </row>
        <row r="607">
          <cell r="D607" t="str">
            <v>ISF3.8</v>
          </cell>
          <cell r="E607" t="str">
            <v>燃油供油管</v>
          </cell>
          <cell r="F607">
            <v>50.0616</v>
          </cell>
        </row>
        <row r="608">
          <cell r="B608">
            <v>5346114</v>
          </cell>
        </row>
        <row r="608">
          <cell r="D608" t="str">
            <v>ISF3.8</v>
          </cell>
          <cell r="E608" t="str">
            <v>燃油供油管</v>
          </cell>
          <cell r="F608">
            <v>47.7972</v>
          </cell>
        </row>
        <row r="609">
          <cell r="B609">
            <v>5686390</v>
          </cell>
        </row>
        <row r="609">
          <cell r="D609">
            <v>0</v>
          </cell>
          <cell r="E609" t="str">
            <v>燃油供油管</v>
          </cell>
          <cell r="F609">
            <v>45.441</v>
          </cell>
        </row>
        <row r="610">
          <cell r="B610">
            <v>5303403</v>
          </cell>
        </row>
        <row r="610">
          <cell r="D610">
            <v>0</v>
          </cell>
          <cell r="E610" t="str">
            <v>燃油供油管</v>
          </cell>
          <cell r="F610">
            <v>45.2268</v>
          </cell>
        </row>
        <row r="611">
          <cell r="B611">
            <v>5303770</v>
          </cell>
        </row>
        <row r="611">
          <cell r="D611">
            <v>0</v>
          </cell>
          <cell r="E611" t="str">
            <v>燃油供油管</v>
          </cell>
          <cell r="F611">
            <v>42.9</v>
          </cell>
        </row>
        <row r="612">
          <cell r="B612">
            <v>5529540</v>
          </cell>
        </row>
        <row r="612">
          <cell r="D612">
            <v>0</v>
          </cell>
          <cell r="E612" t="str">
            <v>燃油供油管</v>
          </cell>
          <cell r="F612">
            <v>44.9973</v>
          </cell>
        </row>
        <row r="613">
          <cell r="B613">
            <v>5272722</v>
          </cell>
        </row>
        <row r="613">
          <cell r="D613" t="str">
            <v>ISF3.8</v>
          </cell>
          <cell r="E613" t="str">
            <v>燃油供油管</v>
          </cell>
          <cell r="F613">
            <v>31.7934</v>
          </cell>
        </row>
        <row r="614">
          <cell r="B614">
            <v>5272723</v>
          </cell>
        </row>
        <row r="614">
          <cell r="D614">
            <v>0</v>
          </cell>
          <cell r="E614" t="str">
            <v>燃油供油管</v>
          </cell>
          <cell r="F614">
            <v>27.846</v>
          </cell>
        </row>
        <row r="615">
          <cell r="B615">
            <v>5273283</v>
          </cell>
        </row>
        <row r="615">
          <cell r="D615">
            <v>0</v>
          </cell>
          <cell r="E615" t="str">
            <v>燃油供油管</v>
          </cell>
          <cell r="F615">
            <v>21.8484</v>
          </cell>
        </row>
        <row r="616">
          <cell r="B616">
            <v>5273267</v>
          </cell>
        </row>
        <row r="616">
          <cell r="D616" t="str">
            <v>ISF3.8</v>
          </cell>
          <cell r="E616" t="str">
            <v>燃油供油管</v>
          </cell>
          <cell r="F616">
            <v>21.726</v>
          </cell>
        </row>
        <row r="617">
          <cell r="B617">
            <v>6432081</v>
          </cell>
        </row>
        <row r="617">
          <cell r="D617">
            <v>0</v>
          </cell>
          <cell r="E617" t="str">
            <v>燃油共轨管</v>
          </cell>
          <cell r="F617">
            <v>2645.94</v>
          </cell>
        </row>
        <row r="618">
          <cell r="B618">
            <v>5461854</v>
          </cell>
        </row>
        <row r="618">
          <cell r="D618">
            <v>0</v>
          </cell>
          <cell r="E618" t="str">
            <v>燃油共轨管</v>
          </cell>
          <cell r="F618">
            <v>1641.94</v>
          </cell>
        </row>
        <row r="619">
          <cell r="B619">
            <v>5478500</v>
          </cell>
        </row>
        <row r="619">
          <cell r="D619" t="str">
            <v>ISF2.8</v>
          </cell>
          <cell r="E619" t="str">
            <v>燃油共轨管</v>
          </cell>
          <cell r="F619">
            <v>885.06</v>
          </cell>
        </row>
        <row r="620">
          <cell r="B620">
            <v>5259689</v>
          </cell>
        </row>
        <row r="620">
          <cell r="D620">
            <v>0</v>
          </cell>
          <cell r="E620" t="str">
            <v>燃油共轨管</v>
          </cell>
          <cell r="F620">
            <v>802.07</v>
          </cell>
        </row>
        <row r="621">
          <cell r="B621">
            <v>5335558</v>
          </cell>
        </row>
        <row r="621">
          <cell r="D621" t="str">
            <v>ISF3.8</v>
          </cell>
          <cell r="E621" t="str">
            <v>燃油共轨管</v>
          </cell>
          <cell r="F621">
            <v>749</v>
          </cell>
        </row>
        <row r="622">
          <cell r="B622">
            <v>5273955</v>
          </cell>
        </row>
        <row r="622">
          <cell r="D622" t="str">
            <v>ISF3.8</v>
          </cell>
          <cell r="E622" t="str">
            <v>燃油共轨管</v>
          </cell>
          <cell r="F622">
            <v>731.92</v>
          </cell>
        </row>
        <row r="623">
          <cell r="B623">
            <v>5259557</v>
          </cell>
          <cell r="C623" t="str">
            <v>0445224059</v>
          </cell>
          <cell r="D623" t="str">
            <v>ISF2.8</v>
          </cell>
          <cell r="E623" t="str">
            <v>燃油共轨管</v>
          </cell>
          <cell r="F623">
            <v>712.4598</v>
          </cell>
        </row>
        <row r="624">
          <cell r="B624">
            <v>6440459</v>
          </cell>
          <cell r="C624" t="str">
            <v>5668696/5311209</v>
          </cell>
          <cell r="D624" t="str">
            <v>ISF3.8</v>
          </cell>
          <cell r="E624" t="str">
            <v>燃油共轨管</v>
          </cell>
          <cell r="F624">
            <v>706.6764</v>
          </cell>
        </row>
        <row r="625">
          <cell r="B625">
            <v>5317260</v>
          </cell>
        </row>
        <row r="625">
          <cell r="D625" t="str">
            <v>ISF3.8</v>
          </cell>
          <cell r="E625" t="str">
            <v>燃油泵转接盘</v>
          </cell>
          <cell r="F625">
            <v>150.0012</v>
          </cell>
        </row>
        <row r="626">
          <cell r="B626">
            <v>5309626</v>
          </cell>
        </row>
        <row r="626">
          <cell r="D626">
            <v>0</v>
          </cell>
          <cell r="E626" t="str">
            <v>燃油泵转接盘</v>
          </cell>
          <cell r="F626">
            <v>148.8537</v>
          </cell>
        </row>
        <row r="627">
          <cell r="B627">
            <v>5293302</v>
          </cell>
        </row>
        <row r="627">
          <cell r="D627">
            <v>0</v>
          </cell>
          <cell r="E627" t="str">
            <v>燃油泵转接盘</v>
          </cell>
          <cell r="F627">
            <v>133.36</v>
          </cell>
        </row>
        <row r="628">
          <cell r="B628">
            <v>5529547</v>
          </cell>
        </row>
        <row r="628">
          <cell r="D628" t="str">
            <v>ISF2.8</v>
          </cell>
          <cell r="E628" t="str">
            <v>燃油泵转接盘</v>
          </cell>
          <cell r="F628">
            <v>104.2695</v>
          </cell>
        </row>
        <row r="629">
          <cell r="B629">
            <v>5267149</v>
          </cell>
        </row>
        <row r="629">
          <cell r="D629">
            <v>0</v>
          </cell>
          <cell r="E629" t="str">
            <v>燃油泵转接盘</v>
          </cell>
          <cell r="F629">
            <v>93.42</v>
          </cell>
        </row>
        <row r="630">
          <cell r="B630">
            <v>5529543</v>
          </cell>
        </row>
        <row r="630">
          <cell r="D630">
            <v>0</v>
          </cell>
          <cell r="E630" t="str">
            <v>燃油泵转接盘</v>
          </cell>
          <cell r="F630">
            <v>50.7</v>
          </cell>
        </row>
        <row r="631">
          <cell r="B631">
            <v>5398173</v>
          </cell>
        </row>
        <row r="631">
          <cell r="D631">
            <v>0</v>
          </cell>
          <cell r="E631" t="str">
            <v>燃油泵转接盘</v>
          </cell>
          <cell r="F631">
            <v>55.296</v>
          </cell>
        </row>
        <row r="632">
          <cell r="B632">
            <v>5628090</v>
          </cell>
        </row>
        <row r="632">
          <cell r="D632">
            <v>0</v>
          </cell>
          <cell r="E632" t="str">
            <v>燃油泵转接盘</v>
          </cell>
          <cell r="F632">
            <v>37.1484</v>
          </cell>
        </row>
        <row r="633">
          <cell r="B633">
            <v>5293308</v>
          </cell>
        </row>
        <row r="633">
          <cell r="D633">
            <v>0</v>
          </cell>
          <cell r="E633" t="str">
            <v>燃油泵支架</v>
          </cell>
          <cell r="F633">
            <v>17.06</v>
          </cell>
        </row>
        <row r="634">
          <cell r="B634">
            <v>5296983</v>
          </cell>
        </row>
        <row r="634">
          <cell r="D634">
            <v>0</v>
          </cell>
          <cell r="E634" t="str">
            <v>燃油泵支架</v>
          </cell>
          <cell r="F634">
            <v>13.39</v>
          </cell>
        </row>
        <row r="635">
          <cell r="B635">
            <v>3696274</v>
          </cell>
        </row>
        <row r="635">
          <cell r="D635" t="str">
            <v>ISG</v>
          </cell>
          <cell r="E635" t="str">
            <v>燃油泵密封垫</v>
          </cell>
          <cell r="F635">
            <v>33.5988</v>
          </cell>
        </row>
        <row r="636">
          <cell r="B636">
            <v>5713710</v>
          </cell>
        </row>
        <row r="636">
          <cell r="D636" t="str">
            <v>ISG</v>
          </cell>
          <cell r="E636" t="str">
            <v>燃油泵密封垫</v>
          </cell>
          <cell r="F636">
            <v>25.4286</v>
          </cell>
        </row>
        <row r="637">
          <cell r="B637">
            <v>5521849</v>
          </cell>
        </row>
        <row r="637">
          <cell r="D637" t="str">
            <v>ISF2.8</v>
          </cell>
          <cell r="E637" t="str">
            <v>燃油泵链轮</v>
          </cell>
          <cell r="F637">
            <v>128.3788</v>
          </cell>
        </row>
        <row r="638">
          <cell r="B638">
            <v>5583504</v>
          </cell>
        </row>
        <row r="638">
          <cell r="D638">
            <v>0</v>
          </cell>
          <cell r="E638" t="str">
            <v>燃油泵接头</v>
          </cell>
          <cell r="F638">
            <v>133</v>
          </cell>
        </row>
        <row r="639">
          <cell r="B639">
            <v>5371040</v>
          </cell>
        </row>
        <row r="639">
          <cell r="D639">
            <v>0</v>
          </cell>
          <cell r="E639" t="str">
            <v>燃油泵盖板</v>
          </cell>
          <cell r="F639">
            <v>82.34</v>
          </cell>
        </row>
        <row r="640">
          <cell r="B640">
            <v>5292869</v>
          </cell>
        </row>
        <row r="640">
          <cell r="D640">
            <v>0</v>
          </cell>
          <cell r="E640" t="str">
            <v>燃油泵齿轮</v>
          </cell>
          <cell r="F640">
            <v>232.0551</v>
          </cell>
        </row>
        <row r="641">
          <cell r="B641">
            <v>5291204</v>
          </cell>
        </row>
        <row r="641">
          <cell r="D641" t="str">
            <v>ISF3.8</v>
          </cell>
          <cell r="E641" t="str">
            <v>燃油泵齿轮</v>
          </cell>
          <cell r="F641">
            <v>82.56</v>
          </cell>
        </row>
        <row r="642">
          <cell r="B642">
            <v>5256325</v>
          </cell>
        </row>
        <row r="642">
          <cell r="D642">
            <v>0</v>
          </cell>
          <cell r="E642" t="str">
            <v>燃油泵齿轮</v>
          </cell>
          <cell r="F642">
            <v>83.61</v>
          </cell>
        </row>
        <row r="643">
          <cell r="B643">
            <v>3955153</v>
          </cell>
        </row>
        <row r="643">
          <cell r="D643" t="str">
            <v>ISF3.8</v>
          </cell>
          <cell r="E643" t="str">
            <v>燃油泵齿轮</v>
          </cell>
          <cell r="F643">
            <v>74.18</v>
          </cell>
        </row>
        <row r="644">
          <cell r="B644">
            <v>5271959</v>
          </cell>
        </row>
        <row r="644">
          <cell r="D644" t="str">
            <v>ISF3.8</v>
          </cell>
          <cell r="E644" t="str">
            <v>燃油泵齿轮</v>
          </cell>
          <cell r="F644">
            <v>69.3243</v>
          </cell>
        </row>
        <row r="645">
          <cell r="B645" t="str">
            <v>0445020256</v>
          </cell>
          <cell r="C645">
            <v>5341063</v>
          </cell>
          <cell r="D645" t="str">
            <v>QSF2.8</v>
          </cell>
          <cell r="E645" t="str">
            <v>燃油泵5321097/5404864</v>
          </cell>
        </row>
        <row r="646">
          <cell r="B646">
            <v>5264248</v>
          </cell>
          <cell r="C646" t="str">
            <v>0445020150</v>
          </cell>
          <cell r="D646" t="str">
            <v>ISF3.8</v>
          </cell>
          <cell r="E646" t="str">
            <v>燃油泵4988595</v>
          </cell>
          <cell r="F646">
            <v>3831.4154256</v>
          </cell>
        </row>
        <row r="647">
          <cell r="B647">
            <v>5406057</v>
          </cell>
        </row>
        <row r="647">
          <cell r="D647">
            <v>0</v>
          </cell>
          <cell r="E647" t="str">
            <v>燃油泵(低压)修理包</v>
          </cell>
          <cell r="F647">
            <v>774.2106</v>
          </cell>
        </row>
        <row r="648">
          <cell r="B648">
            <v>4990601</v>
          </cell>
        </row>
        <row r="648">
          <cell r="D648">
            <v>0</v>
          </cell>
          <cell r="E648" t="str">
            <v>燃油泵</v>
          </cell>
          <cell r="F648">
            <v>5222.7156</v>
          </cell>
        </row>
        <row r="649">
          <cell r="B649">
            <v>5347136</v>
          </cell>
        </row>
        <row r="649">
          <cell r="D649">
            <v>0</v>
          </cell>
          <cell r="E649" t="str">
            <v>燃油泵</v>
          </cell>
          <cell r="F649">
            <v>5222.7156</v>
          </cell>
        </row>
        <row r="650">
          <cell r="B650">
            <v>5293310</v>
          </cell>
        </row>
        <row r="650">
          <cell r="D650">
            <v>0</v>
          </cell>
          <cell r="E650" t="str">
            <v>燃油泵</v>
          </cell>
          <cell r="F650">
            <v>4621.44</v>
          </cell>
        </row>
        <row r="651">
          <cell r="B651">
            <v>5302309</v>
          </cell>
        </row>
        <row r="651">
          <cell r="D651">
            <v>0</v>
          </cell>
          <cell r="E651" t="str">
            <v>燃油泵</v>
          </cell>
          <cell r="F651">
            <v>4621.44</v>
          </cell>
        </row>
        <row r="652">
          <cell r="B652">
            <v>4327066</v>
          </cell>
        </row>
        <row r="652">
          <cell r="D652" t="str">
            <v>ISG</v>
          </cell>
          <cell r="E652" t="str">
            <v>燃油泵</v>
          </cell>
          <cell r="F652">
            <v>4056.41</v>
          </cell>
        </row>
        <row r="653">
          <cell r="B653">
            <v>5256607</v>
          </cell>
        </row>
        <row r="653">
          <cell r="D653">
            <v>0</v>
          </cell>
          <cell r="E653" t="str">
            <v>燃油泵</v>
          </cell>
          <cell r="F653">
            <v>4271.4310976</v>
          </cell>
        </row>
        <row r="654">
          <cell r="B654">
            <v>5527446</v>
          </cell>
        </row>
        <row r="654">
          <cell r="D654">
            <v>0</v>
          </cell>
          <cell r="E654" t="str">
            <v>燃油泵</v>
          </cell>
          <cell r="F654">
            <v>3311.7249</v>
          </cell>
        </row>
        <row r="655">
          <cell r="B655">
            <v>5529542</v>
          </cell>
        </row>
        <row r="655">
          <cell r="D655">
            <v>0</v>
          </cell>
          <cell r="E655" t="str">
            <v>燃油泵</v>
          </cell>
          <cell r="F655">
            <v>2930.86</v>
          </cell>
        </row>
        <row r="656">
          <cell r="B656">
            <v>5529546</v>
          </cell>
        </row>
        <row r="656">
          <cell r="D656" t="str">
            <v>ISF2.8</v>
          </cell>
          <cell r="E656" t="str">
            <v>燃油泵</v>
          </cell>
          <cell r="F656">
            <v>2689.04</v>
          </cell>
        </row>
        <row r="657">
          <cell r="B657">
            <v>5303387</v>
          </cell>
        </row>
        <row r="657">
          <cell r="D657" t="str">
            <v>ISF3.8</v>
          </cell>
          <cell r="E657" t="str">
            <v>燃油泵</v>
          </cell>
          <cell r="F657">
            <v>2981.9090202</v>
          </cell>
        </row>
        <row r="658">
          <cell r="B658">
            <v>5318651</v>
          </cell>
        </row>
        <row r="658">
          <cell r="D658">
            <v>0</v>
          </cell>
          <cell r="E658" t="str">
            <v>燃油泵</v>
          </cell>
          <cell r="F658">
            <v>2372.256</v>
          </cell>
        </row>
        <row r="659">
          <cell r="B659">
            <v>5628088</v>
          </cell>
        </row>
        <row r="659">
          <cell r="D659">
            <v>0</v>
          </cell>
          <cell r="E659" t="str">
            <v>燃油泵</v>
          </cell>
          <cell r="F659">
            <v>2043.15</v>
          </cell>
        </row>
        <row r="660">
          <cell r="B660">
            <v>5661836</v>
          </cell>
        </row>
        <row r="660">
          <cell r="D660">
            <v>0</v>
          </cell>
          <cell r="E660" t="str">
            <v>燃气控制阀支架</v>
          </cell>
          <cell r="F660">
            <v>141.31</v>
          </cell>
        </row>
        <row r="661">
          <cell r="B661">
            <v>5710081</v>
          </cell>
        </row>
        <row r="661">
          <cell r="D661">
            <v>0</v>
          </cell>
          <cell r="E661" t="str">
            <v>燃气测量阀</v>
          </cell>
          <cell r="F661">
            <v>5857.92</v>
          </cell>
        </row>
        <row r="662">
          <cell r="B662">
            <v>5486291</v>
          </cell>
        </row>
        <row r="662">
          <cell r="D662">
            <v>0</v>
          </cell>
          <cell r="E662" t="str">
            <v>曲轴总成</v>
          </cell>
          <cell r="F662">
            <v>7051.65</v>
          </cell>
        </row>
        <row r="663">
          <cell r="B663">
            <v>5486279</v>
          </cell>
        </row>
        <row r="663">
          <cell r="D663">
            <v>0</v>
          </cell>
          <cell r="E663" t="str">
            <v>曲轴总成</v>
          </cell>
          <cell r="F663">
            <v>7051.65</v>
          </cell>
        </row>
        <row r="664">
          <cell r="B664">
            <v>5537423</v>
          </cell>
        </row>
        <row r="664">
          <cell r="D664" t="str">
            <v>ISG</v>
          </cell>
          <cell r="E664" t="str">
            <v>曲轴止推瓦</v>
          </cell>
          <cell r="F664">
            <v>91.4481</v>
          </cell>
        </row>
        <row r="665">
          <cell r="B665">
            <v>4948506</v>
          </cell>
        </row>
        <row r="665">
          <cell r="D665" t="str">
            <v>ISF3.8</v>
          </cell>
          <cell r="E665" t="str">
            <v>曲轴止推瓦</v>
          </cell>
          <cell r="F665">
            <v>34.3179</v>
          </cell>
        </row>
        <row r="666">
          <cell r="B666">
            <v>5478992</v>
          </cell>
        </row>
        <row r="666">
          <cell r="D666" t="str">
            <v>ISF2.8</v>
          </cell>
          <cell r="E666" t="str">
            <v>曲轴止推瓦</v>
          </cell>
          <cell r="F666">
            <v>29.36</v>
          </cell>
        </row>
        <row r="667">
          <cell r="B667">
            <v>4946031</v>
          </cell>
        </row>
        <row r="667">
          <cell r="D667" t="str">
            <v>ISF2.8</v>
          </cell>
          <cell r="E667" t="str">
            <v>曲轴止推瓦</v>
          </cell>
          <cell r="F667">
            <v>24.46</v>
          </cell>
        </row>
        <row r="668">
          <cell r="B668">
            <v>5562126</v>
          </cell>
        </row>
        <row r="668">
          <cell r="D668">
            <v>0</v>
          </cell>
          <cell r="E668" t="str">
            <v>曲轴箱通风支架</v>
          </cell>
          <cell r="F668">
            <v>32</v>
          </cell>
        </row>
        <row r="669">
          <cell r="B669">
            <v>5339534</v>
          </cell>
        </row>
        <row r="669">
          <cell r="D669">
            <v>0</v>
          </cell>
          <cell r="E669" t="str">
            <v>曲轴箱通风支架</v>
          </cell>
          <cell r="F669">
            <v>21.8</v>
          </cell>
        </row>
        <row r="670">
          <cell r="B670">
            <v>5296689</v>
          </cell>
        </row>
        <row r="670">
          <cell r="D670">
            <v>0</v>
          </cell>
          <cell r="E670" t="str">
            <v>曲轴箱通风支架</v>
          </cell>
          <cell r="F670">
            <v>21.47</v>
          </cell>
        </row>
        <row r="671">
          <cell r="B671">
            <v>5377705</v>
          </cell>
        </row>
        <row r="671">
          <cell r="D671">
            <v>0</v>
          </cell>
          <cell r="E671" t="str">
            <v>曲轴箱通风支架</v>
          </cell>
          <cell r="F671">
            <v>18.04</v>
          </cell>
        </row>
        <row r="672">
          <cell r="B672">
            <v>5377725</v>
          </cell>
        </row>
        <row r="672">
          <cell r="D672">
            <v>0</v>
          </cell>
          <cell r="E672" t="str">
            <v>曲轴箱通风支架</v>
          </cell>
          <cell r="F672">
            <v>9.05</v>
          </cell>
        </row>
        <row r="673">
          <cell r="B673">
            <v>5622018</v>
          </cell>
        </row>
        <row r="673">
          <cell r="D673">
            <v>0</v>
          </cell>
          <cell r="E673" t="str">
            <v>曲轴箱通风件</v>
          </cell>
          <cell r="F673">
            <v>163.94</v>
          </cell>
        </row>
        <row r="674">
          <cell r="B674">
            <v>3698384</v>
          </cell>
        </row>
        <row r="674">
          <cell r="D674">
            <v>0</v>
          </cell>
          <cell r="E674" t="str">
            <v>曲轴箱通风管(金属)</v>
          </cell>
          <cell r="F674">
            <v>73.48</v>
          </cell>
        </row>
        <row r="675">
          <cell r="B675">
            <v>5562131</v>
          </cell>
        </row>
        <row r="675">
          <cell r="D675">
            <v>0</v>
          </cell>
          <cell r="E675" t="str">
            <v>曲轴箱通风管</v>
          </cell>
          <cell r="F675">
            <v>162.13</v>
          </cell>
        </row>
        <row r="676">
          <cell r="B676">
            <v>5584683</v>
          </cell>
        </row>
        <row r="676">
          <cell r="D676">
            <v>0</v>
          </cell>
          <cell r="E676" t="str">
            <v>曲轴箱通风管</v>
          </cell>
          <cell r="F676">
            <v>140.73</v>
          </cell>
        </row>
        <row r="677">
          <cell r="B677">
            <v>5335924</v>
          </cell>
        </row>
        <row r="677">
          <cell r="D677">
            <v>0</v>
          </cell>
          <cell r="E677" t="str">
            <v>曲轴箱通风管</v>
          </cell>
          <cell r="F677">
            <v>138.93</v>
          </cell>
        </row>
        <row r="678">
          <cell r="B678">
            <v>5584550</v>
          </cell>
        </row>
        <row r="678">
          <cell r="D678">
            <v>0</v>
          </cell>
          <cell r="E678" t="str">
            <v>曲轴箱通风管</v>
          </cell>
          <cell r="F678">
            <v>127.58</v>
          </cell>
        </row>
        <row r="679">
          <cell r="B679">
            <v>5584546</v>
          </cell>
        </row>
        <row r="679">
          <cell r="D679">
            <v>0</v>
          </cell>
          <cell r="E679" t="str">
            <v>曲轴箱通风管</v>
          </cell>
          <cell r="F679">
            <v>92.33</v>
          </cell>
        </row>
        <row r="680">
          <cell r="B680">
            <v>5377706</v>
          </cell>
        </row>
        <row r="680">
          <cell r="D680">
            <v>0</v>
          </cell>
          <cell r="E680" t="str">
            <v>曲轴箱通风管</v>
          </cell>
          <cell r="F680">
            <v>61.71</v>
          </cell>
        </row>
        <row r="681">
          <cell r="B681">
            <v>5620938</v>
          </cell>
        </row>
        <row r="681">
          <cell r="D681">
            <v>0</v>
          </cell>
          <cell r="E681" t="str">
            <v>曲轴箱通风管</v>
          </cell>
          <cell r="F681">
            <v>55.1412</v>
          </cell>
        </row>
        <row r="682">
          <cell r="B682">
            <v>5628357</v>
          </cell>
        </row>
        <row r="682">
          <cell r="D682">
            <v>0</v>
          </cell>
          <cell r="E682" t="str">
            <v>曲轴箱通风管</v>
          </cell>
          <cell r="F682">
            <v>50.13</v>
          </cell>
        </row>
        <row r="683">
          <cell r="B683">
            <v>5680893</v>
          </cell>
        </row>
        <row r="683">
          <cell r="D683" t="str">
            <v>ISF2.8</v>
          </cell>
          <cell r="E683" t="str">
            <v>曲轴箱通风管</v>
          </cell>
          <cell r="F683">
            <v>46.8</v>
          </cell>
        </row>
        <row r="684">
          <cell r="B684">
            <v>5521907</v>
          </cell>
        </row>
        <row r="684">
          <cell r="D684">
            <v>0</v>
          </cell>
          <cell r="E684" t="str">
            <v>曲轴箱通风管</v>
          </cell>
          <cell r="F684">
            <v>44.586</v>
          </cell>
        </row>
        <row r="685">
          <cell r="B685">
            <v>5297725</v>
          </cell>
        </row>
        <row r="685">
          <cell r="D685">
            <v>0</v>
          </cell>
          <cell r="E685" t="str">
            <v>曲轴箱通风管</v>
          </cell>
          <cell r="F685">
            <v>39.99</v>
          </cell>
        </row>
        <row r="686">
          <cell r="B686">
            <v>5563647</v>
          </cell>
        </row>
        <row r="686">
          <cell r="D686">
            <v>0</v>
          </cell>
          <cell r="E686" t="str">
            <v>曲轴箱通风管</v>
          </cell>
          <cell r="F686">
            <v>40.1472</v>
          </cell>
        </row>
        <row r="687">
          <cell r="B687">
            <v>5318784</v>
          </cell>
        </row>
        <row r="687">
          <cell r="D687">
            <v>0</v>
          </cell>
          <cell r="E687" t="str">
            <v>曲轴箱通风管</v>
          </cell>
          <cell r="F687">
            <v>38.8314</v>
          </cell>
        </row>
        <row r="688">
          <cell r="B688">
            <v>5562133</v>
          </cell>
        </row>
        <row r="688">
          <cell r="D688">
            <v>0</v>
          </cell>
          <cell r="E688" t="str">
            <v>曲轴箱通风管</v>
          </cell>
          <cell r="F688">
            <v>36.5364</v>
          </cell>
        </row>
        <row r="689">
          <cell r="B689">
            <v>5319190</v>
          </cell>
        </row>
        <row r="689">
          <cell r="D689">
            <v>0</v>
          </cell>
          <cell r="E689" t="str">
            <v>曲轴箱通风管</v>
          </cell>
          <cell r="F689">
            <v>34.55</v>
          </cell>
        </row>
        <row r="690">
          <cell r="B690">
            <v>5304482</v>
          </cell>
        </row>
        <row r="690">
          <cell r="D690">
            <v>0</v>
          </cell>
          <cell r="E690" t="str">
            <v>曲轴箱通风管</v>
          </cell>
          <cell r="F690">
            <v>34.25</v>
          </cell>
        </row>
        <row r="691">
          <cell r="B691">
            <v>5401032</v>
          </cell>
        </row>
        <row r="691">
          <cell r="D691">
            <v>0</v>
          </cell>
          <cell r="E691" t="str">
            <v>曲轴箱通风管</v>
          </cell>
          <cell r="F691">
            <v>29.3454</v>
          </cell>
        </row>
        <row r="692">
          <cell r="B692">
            <v>5348959</v>
          </cell>
        </row>
        <row r="692">
          <cell r="D692">
            <v>0</v>
          </cell>
          <cell r="E692" t="str">
            <v>曲轴箱通风管</v>
          </cell>
          <cell r="F692">
            <v>27.0504</v>
          </cell>
        </row>
        <row r="693">
          <cell r="B693">
            <v>5261049</v>
          </cell>
        </row>
        <row r="693">
          <cell r="D693">
            <v>0</v>
          </cell>
          <cell r="E693" t="str">
            <v>曲轴箱通风管</v>
          </cell>
          <cell r="F693">
            <v>22.6287</v>
          </cell>
        </row>
        <row r="694">
          <cell r="B694">
            <v>5283797</v>
          </cell>
          <cell r="C694">
            <v>5267091</v>
          </cell>
          <cell r="D694" t="str">
            <v>ISF3.8</v>
          </cell>
          <cell r="E694" t="str">
            <v>曲轴箱通风管</v>
          </cell>
        </row>
        <row r="695">
          <cell r="B695">
            <v>5305196</v>
          </cell>
        </row>
        <row r="695">
          <cell r="D695">
            <v>0</v>
          </cell>
          <cell r="E695" t="str">
            <v>曲轴箱通风管</v>
          </cell>
          <cell r="F695">
            <v>17.6715</v>
          </cell>
        </row>
        <row r="696">
          <cell r="B696">
            <v>4890832</v>
          </cell>
        </row>
        <row r="696">
          <cell r="D696" t="str">
            <v>ISF3.8</v>
          </cell>
          <cell r="E696" t="str">
            <v>曲轴前油封</v>
          </cell>
          <cell r="F696">
            <v>65.2698</v>
          </cell>
        </row>
        <row r="697">
          <cell r="B697">
            <v>5575343</v>
          </cell>
        </row>
        <row r="697">
          <cell r="D697" t="str">
            <v>ISG</v>
          </cell>
          <cell r="E697" t="str">
            <v>曲轴前油封</v>
          </cell>
          <cell r="F697">
            <v>71.8029</v>
          </cell>
        </row>
        <row r="698">
          <cell r="B698">
            <v>3693459</v>
          </cell>
        </row>
        <row r="698">
          <cell r="D698" t="str">
            <v>ISG</v>
          </cell>
          <cell r="E698" t="str">
            <v>曲轴前油封</v>
          </cell>
          <cell r="F698">
            <v>42.9012</v>
          </cell>
        </row>
        <row r="699">
          <cell r="B699">
            <v>5265266</v>
          </cell>
        </row>
        <row r="699">
          <cell r="D699" t="str">
            <v>ISF2.8/ISG</v>
          </cell>
          <cell r="E699" t="str">
            <v>曲轴前油封</v>
          </cell>
          <cell r="F699">
            <v>17.9928</v>
          </cell>
        </row>
        <row r="700">
          <cell r="B700">
            <v>4938765</v>
          </cell>
        </row>
        <row r="700">
          <cell r="D700" t="str">
            <v>ISF3.8</v>
          </cell>
          <cell r="E700" t="str">
            <v>曲轴前油封</v>
          </cell>
          <cell r="F700">
            <v>8.28</v>
          </cell>
        </row>
        <row r="701">
          <cell r="B701">
            <v>3698248</v>
          </cell>
        </row>
        <row r="701">
          <cell r="D701">
            <v>0</v>
          </cell>
          <cell r="E701" t="str">
            <v>曲轴皮带轮</v>
          </cell>
          <cell r="F701">
            <v>441.09</v>
          </cell>
        </row>
        <row r="702">
          <cell r="B702">
            <v>3696542</v>
          </cell>
        </row>
        <row r="702">
          <cell r="D702">
            <v>0</v>
          </cell>
          <cell r="E702" t="str">
            <v>曲轴皮带轮</v>
          </cell>
          <cell r="F702">
            <v>334.57</v>
          </cell>
        </row>
        <row r="703">
          <cell r="B703">
            <v>3696491</v>
          </cell>
        </row>
        <row r="703">
          <cell r="D703" t="str">
            <v>ISG</v>
          </cell>
          <cell r="E703" t="str">
            <v>曲轴皮带轮</v>
          </cell>
          <cell r="F703">
            <v>295.5348</v>
          </cell>
        </row>
        <row r="704">
          <cell r="B704">
            <v>3696324</v>
          </cell>
        </row>
        <row r="704">
          <cell r="D704">
            <v>0</v>
          </cell>
          <cell r="E704" t="str">
            <v>曲轴皮带轮</v>
          </cell>
          <cell r="F704">
            <v>135.0837</v>
          </cell>
        </row>
        <row r="705">
          <cell r="B705">
            <v>5563068</v>
          </cell>
        </row>
        <row r="705">
          <cell r="D705">
            <v>0</v>
          </cell>
          <cell r="E705" t="str">
            <v>曲轴皮带轮</v>
          </cell>
          <cell r="F705">
            <v>98.86</v>
          </cell>
        </row>
        <row r="706">
          <cell r="B706">
            <v>5259981</v>
          </cell>
        </row>
        <row r="706">
          <cell r="D706" t="str">
            <v>ISF3.8</v>
          </cell>
          <cell r="E706" t="str">
            <v>曲轴皮带轮</v>
          </cell>
          <cell r="F706">
            <v>59.9913</v>
          </cell>
        </row>
        <row r="707">
          <cell r="B707">
            <v>3697356</v>
          </cell>
        </row>
        <row r="707">
          <cell r="D707">
            <v>0</v>
          </cell>
          <cell r="E707" t="str">
            <v>曲轴联轴器</v>
          </cell>
          <cell r="F707">
            <v>549.18</v>
          </cell>
        </row>
        <row r="708">
          <cell r="B708">
            <v>3696487</v>
          </cell>
        </row>
        <row r="708">
          <cell r="D708">
            <v>0</v>
          </cell>
          <cell r="E708" t="str">
            <v>曲轴联轴器</v>
          </cell>
          <cell r="F708">
            <v>219.3</v>
          </cell>
        </row>
        <row r="709">
          <cell r="B709">
            <v>3696541</v>
          </cell>
        </row>
        <row r="709">
          <cell r="D709">
            <v>0</v>
          </cell>
          <cell r="E709" t="str">
            <v>曲轴联轴器</v>
          </cell>
          <cell r="F709">
            <v>149.15</v>
          </cell>
        </row>
        <row r="710">
          <cell r="B710">
            <v>5364877</v>
          </cell>
        </row>
        <row r="710">
          <cell r="D710">
            <v>0</v>
          </cell>
          <cell r="E710" t="str">
            <v>曲轴联轴器</v>
          </cell>
          <cell r="F710">
            <v>54.98</v>
          </cell>
        </row>
        <row r="711">
          <cell r="B711">
            <v>3693669</v>
          </cell>
          <cell r="C711">
            <v>5265267</v>
          </cell>
          <cell r="D711" t="str">
            <v>ISF2.8</v>
          </cell>
          <cell r="E711" t="str">
            <v>曲轴后油封</v>
          </cell>
          <cell r="F711">
            <v>59.8383</v>
          </cell>
        </row>
        <row r="712">
          <cell r="B712">
            <v>3968563</v>
          </cell>
        </row>
        <row r="712">
          <cell r="D712" t="str">
            <v>ISF3.8</v>
          </cell>
          <cell r="E712" t="str">
            <v>曲轴后油封</v>
          </cell>
          <cell r="F712">
            <v>46.8945</v>
          </cell>
        </row>
        <row r="713">
          <cell r="B713">
            <v>3978478</v>
          </cell>
        </row>
        <row r="713">
          <cell r="D713">
            <v>0</v>
          </cell>
          <cell r="E713" t="str">
            <v>曲轴法兰</v>
          </cell>
          <cell r="F713">
            <v>133.8903</v>
          </cell>
        </row>
        <row r="714">
          <cell r="B714">
            <v>5524130</v>
          </cell>
        </row>
        <row r="714">
          <cell r="D714" t="str">
            <v>ISF2.8</v>
          </cell>
          <cell r="E714" t="str">
            <v>曲轴（国六）</v>
          </cell>
          <cell r="F714">
            <v>1804.44</v>
          </cell>
        </row>
        <row r="715">
          <cell r="B715">
            <v>5417279</v>
          </cell>
        </row>
        <row r="715">
          <cell r="D715">
            <v>0</v>
          </cell>
          <cell r="E715" t="str">
            <v>曲轴</v>
          </cell>
          <cell r="F715">
            <v>7941.81</v>
          </cell>
        </row>
        <row r="716">
          <cell r="B716">
            <v>5446856</v>
          </cell>
        </row>
        <row r="716">
          <cell r="D716">
            <v>0</v>
          </cell>
          <cell r="E716" t="str">
            <v>曲轴</v>
          </cell>
          <cell r="F716">
            <v>7051.65</v>
          </cell>
        </row>
        <row r="717">
          <cell r="B717">
            <v>5563148</v>
          </cell>
        </row>
        <row r="717">
          <cell r="D717">
            <v>0</v>
          </cell>
          <cell r="E717" t="str">
            <v>曲轴</v>
          </cell>
          <cell r="F717">
            <v>2391.12</v>
          </cell>
        </row>
        <row r="718">
          <cell r="B718">
            <v>5561336</v>
          </cell>
          <cell r="C718" t="str">
            <v>5261375/5261376/4938752/4938751</v>
          </cell>
          <cell r="D718" t="str">
            <v>ISF3.8</v>
          </cell>
          <cell r="E718" t="str">
            <v>曲轴</v>
          </cell>
          <cell r="F718">
            <v>1808.26</v>
          </cell>
        </row>
        <row r="719">
          <cell r="B719">
            <v>5619827</v>
          </cell>
        </row>
        <row r="719">
          <cell r="D719">
            <v>0</v>
          </cell>
          <cell r="E719" t="str">
            <v>曲轴</v>
          </cell>
          <cell r="F719">
            <v>1804.44</v>
          </cell>
        </row>
        <row r="720">
          <cell r="B720">
            <v>5570477</v>
          </cell>
        </row>
        <row r="720">
          <cell r="D720">
            <v>0</v>
          </cell>
          <cell r="E720" t="str">
            <v>曲轴</v>
          </cell>
          <cell r="F720">
            <v>1804.4</v>
          </cell>
        </row>
        <row r="721">
          <cell r="B721">
            <v>5443112</v>
          </cell>
        </row>
        <row r="721">
          <cell r="D721">
            <v>0</v>
          </cell>
          <cell r="E721" t="str">
            <v>曲轴</v>
          </cell>
          <cell r="F721">
            <v>1526.84</v>
          </cell>
        </row>
        <row r="722">
          <cell r="B722">
            <v>5443207</v>
          </cell>
          <cell r="C722" t="str">
            <v>5264231/5282791/5340179/5264230 </v>
          </cell>
          <cell r="D722" t="str">
            <v>ISF2.8</v>
          </cell>
          <cell r="E722" t="str">
            <v>曲轴</v>
          </cell>
          <cell r="F722">
            <v>1494.76</v>
          </cell>
        </row>
        <row r="723">
          <cell r="B723">
            <v>5688995</v>
          </cell>
        </row>
        <row r="723">
          <cell r="D723">
            <v>0</v>
          </cell>
          <cell r="E723" t="str">
            <v>曲轴</v>
          </cell>
          <cell r="F723">
            <v>1461.73</v>
          </cell>
        </row>
        <row r="724">
          <cell r="B724">
            <v>5664695</v>
          </cell>
          <cell r="C724">
            <v>5254871</v>
          </cell>
          <cell r="D724" t="str">
            <v>ISF2.8</v>
          </cell>
          <cell r="E724" t="str">
            <v>驱动链轮</v>
          </cell>
          <cell r="F724">
            <v>41.05</v>
          </cell>
        </row>
        <row r="725">
          <cell r="B725">
            <v>3696588</v>
          </cell>
        </row>
        <row r="725">
          <cell r="D725">
            <v>0</v>
          </cell>
          <cell r="E725" t="str">
            <v>驱动连接接头</v>
          </cell>
          <cell r="F725">
            <v>398.69</v>
          </cell>
        </row>
        <row r="726">
          <cell r="B726">
            <v>4980605</v>
          </cell>
          <cell r="C726">
            <v>5521022</v>
          </cell>
          <cell r="D726" t="str">
            <v>ISF3.8</v>
          </cell>
          <cell r="E726" t="str">
            <v>前端齿轮室盖密封垫</v>
          </cell>
          <cell r="F726">
            <v>36.22</v>
          </cell>
        </row>
        <row r="727">
          <cell r="B727">
            <v>5670415</v>
          </cell>
        </row>
        <row r="727">
          <cell r="D727">
            <v>0</v>
          </cell>
          <cell r="E727" t="str">
            <v>前端齿轮室盖</v>
          </cell>
          <cell r="F727">
            <v>1080.7155</v>
          </cell>
        </row>
        <row r="728">
          <cell r="B728">
            <v>5670419</v>
          </cell>
        </row>
        <row r="728">
          <cell r="D728">
            <v>0</v>
          </cell>
          <cell r="E728" t="str">
            <v>前端齿轮室盖</v>
          </cell>
          <cell r="F728">
            <v>1080.7155</v>
          </cell>
        </row>
        <row r="729">
          <cell r="B729">
            <v>5335974</v>
          </cell>
        </row>
        <row r="729">
          <cell r="D729">
            <v>0</v>
          </cell>
          <cell r="E729" t="str">
            <v>前端齿轮室盖</v>
          </cell>
          <cell r="F729">
            <v>765.8568</v>
          </cell>
        </row>
        <row r="730">
          <cell r="B730">
            <v>5337695</v>
          </cell>
        </row>
        <row r="730">
          <cell r="D730">
            <v>0</v>
          </cell>
          <cell r="E730" t="str">
            <v>前端齿轮室盖</v>
          </cell>
          <cell r="F730">
            <v>764.7552</v>
          </cell>
        </row>
        <row r="731">
          <cell r="B731">
            <v>5569063</v>
          </cell>
        </row>
        <row r="731">
          <cell r="D731" t="str">
            <v>ISF2.8</v>
          </cell>
          <cell r="E731" t="str">
            <v>前端齿轮室盖</v>
          </cell>
          <cell r="F731">
            <v>63.5256</v>
          </cell>
        </row>
        <row r="732">
          <cell r="B732">
            <v>5262813</v>
          </cell>
        </row>
        <row r="732">
          <cell r="D732" t="str">
            <v>ISF2.8</v>
          </cell>
          <cell r="E732" t="str">
            <v>气门座圈(国五康瑞H3)</v>
          </cell>
          <cell r="F732">
            <v>13.01</v>
          </cell>
        </row>
        <row r="733">
          <cell r="B733">
            <v>5262173</v>
          </cell>
        </row>
        <row r="733">
          <cell r="D733" t="str">
            <v>ISF2.8</v>
          </cell>
          <cell r="E733" t="str">
            <v>气门座圈(国五康瑞H3)</v>
          </cell>
          <cell r="F733">
            <v>10.64</v>
          </cell>
        </row>
        <row r="734">
          <cell r="B734">
            <v>5614672</v>
          </cell>
        </row>
        <row r="734">
          <cell r="D734">
            <v>0</v>
          </cell>
          <cell r="E734" t="str">
            <v>气门座圈</v>
          </cell>
          <cell r="F734">
            <v>42.25</v>
          </cell>
        </row>
        <row r="735">
          <cell r="B735">
            <v>5614673</v>
          </cell>
        </row>
        <row r="735">
          <cell r="D735">
            <v>0</v>
          </cell>
          <cell r="E735" t="str">
            <v>气门座圈</v>
          </cell>
          <cell r="F735">
            <v>42.25</v>
          </cell>
        </row>
        <row r="736">
          <cell r="B736">
            <v>3692378</v>
          </cell>
        </row>
        <row r="736">
          <cell r="D736">
            <v>0</v>
          </cell>
          <cell r="E736" t="str">
            <v>气门座圈</v>
          </cell>
          <cell r="F736">
            <v>47.3535</v>
          </cell>
        </row>
        <row r="737">
          <cell r="B737">
            <v>3943450</v>
          </cell>
        </row>
        <row r="737">
          <cell r="D737" t="str">
            <v>ISF3.8</v>
          </cell>
          <cell r="E737" t="str">
            <v>气门座圈</v>
          </cell>
          <cell r="F737">
            <v>11.94</v>
          </cell>
        </row>
        <row r="738">
          <cell r="B738">
            <v>5711064</v>
          </cell>
        </row>
        <row r="738">
          <cell r="D738">
            <v>0</v>
          </cell>
          <cell r="E738" t="str">
            <v>气门座圈</v>
          </cell>
          <cell r="F738">
            <v>11.98</v>
          </cell>
        </row>
        <row r="739">
          <cell r="B739">
            <v>3943449</v>
          </cell>
        </row>
        <row r="739">
          <cell r="D739" t="str">
            <v>ISF3.8</v>
          </cell>
          <cell r="E739" t="str">
            <v>气门座圈</v>
          </cell>
          <cell r="F739">
            <v>10.78</v>
          </cell>
        </row>
        <row r="740">
          <cell r="B740">
            <v>5664534</v>
          </cell>
          <cell r="C740" t="str">
            <v>5529727/5664533</v>
          </cell>
          <cell r="D740" t="e">
            <v>#N/A</v>
          </cell>
          <cell r="E740" t="str">
            <v>气门座圈</v>
          </cell>
          <cell r="F740">
            <v>14.34</v>
          </cell>
        </row>
        <row r="741">
          <cell r="B741">
            <v>5664533</v>
          </cell>
          <cell r="C741">
            <v>5529728</v>
          </cell>
          <cell r="D741">
            <v>0</v>
          </cell>
          <cell r="E741" t="str">
            <v>气门座圈</v>
          </cell>
          <cell r="F741">
            <v>14.34</v>
          </cell>
        </row>
        <row r="742">
          <cell r="B742">
            <v>5685756</v>
          </cell>
        </row>
        <row r="742">
          <cell r="D742">
            <v>0</v>
          </cell>
          <cell r="E742" t="str">
            <v>气门罩盖总成</v>
          </cell>
          <cell r="F742">
            <v>1518.57</v>
          </cell>
        </row>
        <row r="743">
          <cell r="B743">
            <v>6302995</v>
          </cell>
        </row>
        <row r="743">
          <cell r="D743">
            <v>0</v>
          </cell>
          <cell r="E743" t="str">
            <v>气门罩盖总成</v>
          </cell>
          <cell r="F743">
            <v>574.85</v>
          </cell>
        </row>
        <row r="744">
          <cell r="B744">
            <v>5718690</v>
          </cell>
        </row>
        <row r="744">
          <cell r="D744">
            <v>0</v>
          </cell>
          <cell r="E744" t="str">
            <v>气门罩盖总成</v>
          </cell>
          <cell r="F744">
            <v>484.54</v>
          </cell>
        </row>
        <row r="745">
          <cell r="B745">
            <v>6304891</v>
          </cell>
        </row>
        <row r="745">
          <cell r="D745">
            <v>0</v>
          </cell>
          <cell r="E745" t="str">
            <v>气门罩盖总成</v>
          </cell>
          <cell r="F745">
            <v>467.23</v>
          </cell>
        </row>
        <row r="746">
          <cell r="B746">
            <v>3695552</v>
          </cell>
        </row>
        <row r="746">
          <cell r="D746" t="str">
            <v>ISG</v>
          </cell>
          <cell r="E746" t="str">
            <v>气门摇臂桥</v>
          </cell>
          <cell r="F746">
            <v>20.6684</v>
          </cell>
        </row>
        <row r="747">
          <cell r="B747">
            <v>5561742</v>
          </cell>
        </row>
        <row r="747">
          <cell r="D747">
            <v>0</v>
          </cell>
          <cell r="E747" t="str">
            <v>气门摇臂桥</v>
          </cell>
          <cell r="F747">
            <v>14.38</v>
          </cell>
        </row>
        <row r="748">
          <cell r="B748">
            <v>4940179</v>
          </cell>
        </row>
        <row r="748">
          <cell r="D748" t="str">
            <v>ISF3.8</v>
          </cell>
          <cell r="E748" t="str">
            <v>气门摇臂桥</v>
          </cell>
          <cell r="F748">
            <v>11.98</v>
          </cell>
        </row>
        <row r="749">
          <cell r="B749">
            <v>5261340</v>
          </cell>
        </row>
        <row r="749">
          <cell r="D749" t="str">
            <v>ISF2.8</v>
          </cell>
          <cell r="E749" t="str">
            <v>气门摇臂桥</v>
          </cell>
          <cell r="F749">
            <v>9.92</v>
          </cell>
        </row>
        <row r="750">
          <cell r="B750">
            <v>3947759</v>
          </cell>
        </row>
        <row r="750">
          <cell r="D750" t="str">
            <v>ISF3.8</v>
          </cell>
          <cell r="E750" t="str">
            <v>气门挺杆</v>
          </cell>
          <cell r="F750">
            <v>20.36</v>
          </cell>
        </row>
        <row r="751">
          <cell r="B751">
            <v>3940123</v>
          </cell>
        </row>
        <row r="751">
          <cell r="D751" t="str">
            <v>ISF3.8</v>
          </cell>
          <cell r="E751" t="str">
            <v>气门锁片</v>
          </cell>
          <cell r="F751">
            <v>1.06</v>
          </cell>
        </row>
        <row r="752">
          <cell r="B752">
            <v>5308263</v>
          </cell>
          <cell r="C752">
            <v>4976169</v>
          </cell>
          <cell r="D752" t="str">
            <v>ISF2.8</v>
          </cell>
          <cell r="E752" t="str">
            <v>气门锁片</v>
          </cell>
          <cell r="F752">
            <v>0.68</v>
          </cell>
        </row>
        <row r="753">
          <cell r="B753">
            <v>4946239</v>
          </cell>
        </row>
        <row r="753">
          <cell r="D753" t="str">
            <v>ISF3.8</v>
          </cell>
          <cell r="E753" t="str">
            <v>气门室罩盖密封垫</v>
          </cell>
          <cell r="F753">
            <v>52.425</v>
          </cell>
        </row>
        <row r="754">
          <cell r="B754">
            <v>3695663</v>
          </cell>
        </row>
        <row r="754">
          <cell r="D754" t="str">
            <v>ISG</v>
          </cell>
          <cell r="E754" t="str">
            <v>气门室罩盖密封垫</v>
          </cell>
          <cell r="F754">
            <v>78.3054</v>
          </cell>
        </row>
        <row r="755">
          <cell r="B755">
            <v>5262617</v>
          </cell>
        </row>
        <row r="755">
          <cell r="D755" t="str">
            <v>ISF2.8</v>
          </cell>
          <cell r="E755" t="str">
            <v>气门室罩盖（国五）</v>
          </cell>
          <cell r="F755">
            <v>334.04</v>
          </cell>
        </row>
        <row r="756">
          <cell r="B756">
            <v>5294397</v>
          </cell>
          <cell r="C756">
            <v>5292804</v>
          </cell>
          <cell r="D756" t="str">
            <v>ISF2.8</v>
          </cell>
          <cell r="E756" t="str">
            <v>气门室罩盖(国四)</v>
          </cell>
          <cell r="F756">
            <v>438.01</v>
          </cell>
        </row>
        <row r="757">
          <cell r="B757">
            <v>6416013</v>
          </cell>
          <cell r="C757" t="str">
            <v>5590362/5669039</v>
          </cell>
          <cell r="D757" t="str">
            <v>ISF2.8</v>
          </cell>
          <cell r="E757" t="str">
            <v>气门室罩盖（国六）</v>
          </cell>
          <cell r="F757">
            <v>294.86</v>
          </cell>
        </row>
        <row r="758">
          <cell r="B758">
            <v>5562893</v>
          </cell>
        </row>
        <row r="758">
          <cell r="D758">
            <v>0</v>
          </cell>
          <cell r="E758" t="str">
            <v>气门室罩盖</v>
          </cell>
          <cell r="F758">
            <v>5523.36</v>
          </cell>
        </row>
        <row r="759">
          <cell r="B759">
            <v>5377767</v>
          </cell>
        </row>
        <row r="759">
          <cell r="D759">
            <v>0</v>
          </cell>
          <cell r="E759" t="str">
            <v>气门室罩盖</v>
          </cell>
          <cell r="F759">
            <v>1702.6</v>
          </cell>
        </row>
        <row r="760">
          <cell r="B760">
            <v>5377768</v>
          </cell>
        </row>
        <row r="760">
          <cell r="D760">
            <v>0</v>
          </cell>
          <cell r="E760" t="str">
            <v>气门室罩盖</v>
          </cell>
          <cell r="F760">
            <v>1702.6</v>
          </cell>
        </row>
        <row r="761">
          <cell r="B761">
            <v>5612387</v>
          </cell>
        </row>
        <row r="761">
          <cell r="D761" t="str">
            <v>ISG</v>
          </cell>
          <cell r="E761" t="str">
            <v>气门室罩盖</v>
          </cell>
          <cell r="F761">
            <v>705.31</v>
          </cell>
        </row>
        <row r="762">
          <cell r="B762">
            <v>6303005</v>
          </cell>
        </row>
        <row r="762">
          <cell r="D762">
            <v>0</v>
          </cell>
          <cell r="E762" t="str">
            <v>气门室罩盖</v>
          </cell>
          <cell r="F762">
            <v>513.95</v>
          </cell>
        </row>
        <row r="763">
          <cell r="B763">
            <v>5262620</v>
          </cell>
        </row>
        <row r="763">
          <cell r="D763" t="str">
            <v>ISF2.8</v>
          </cell>
          <cell r="E763" t="str">
            <v>气门室罩盖</v>
          </cell>
          <cell r="F763">
            <v>424.56</v>
          </cell>
        </row>
        <row r="764">
          <cell r="B764">
            <v>5587065</v>
          </cell>
        </row>
        <row r="764">
          <cell r="D764">
            <v>0</v>
          </cell>
          <cell r="E764" t="str">
            <v>气门室罩盖</v>
          </cell>
          <cell r="F764">
            <v>403.46</v>
          </cell>
        </row>
        <row r="765">
          <cell r="B765">
            <v>5294396</v>
          </cell>
        </row>
        <row r="765">
          <cell r="D765">
            <v>0</v>
          </cell>
          <cell r="E765" t="str">
            <v>气门室罩盖</v>
          </cell>
          <cell r="F765">
            <v>394.24</v>
          </cell>
        </row>
        <row r="766">
          <cell r="B766">
            <v>5587066</v>
          </cell>
        </row>
        <row r="766">
          <cell r="D766">
            <v>0</v>
          </cell>
          <cell r="E766" t="str">
            <v>气门室罩盖</v>
          </cell>
          <cell r="F766">
            <v>392.62</v>
          </cell>
        </row>
        <row r="767">
          <cell r="B767">
            <v>6416030</v>
          </cell>
          <cell r="C767">
            <v>5726240</v>
          </cell>
          <cell r="D767" t="e">
            <v>#N/A</v>
          </cell>
          <cell r="E767" t="str">
            <v>气门室罩盖</v>
          </cell>
          <cell r="F767">
            <v>294.86</v>
          </cell>
        </row>
        <row r="768">
          <cell r="B768">
            <v>5291091</v>
          </cell>
        </row>
        <row r="768">
          <cell r="D768" t="str">
            <v>ISF2.8/3.8</v>
          </cell>
          <cell r="E768" t="str">
            <v>气门室罩盖</v>
          </cell>
          <cell r="F768">
            <v>259.36</v>
          </cell>
        </row>
        <row r="769">
          <cell r="B769">
            <v>5261019</v>
          </cell>
        </row>
        <row r="769">
          <cell r="D769" t="str">
            <v>ISF3.8</v>
          </cell>
          <cell r="E769" t="str">
            <v>气门室罩盖</v>
          </cell>
          <cell r="F769">
            <v>241.95</v>
          </cell>
        </row>
        <row r="770">
          <cell r="B770">
            <v>5298129</v>
          </cell>
        </row>
        <row r="770">
          <cell r="D770" t="str">
            <v>ISF3.8</v>
          </cell>
          <cell r="E770" t="str">
            <v>气门室罩盖（国四）</v>
          </cell>
          <cell r="F770">
            <v>238.67</v>
          </cell>
        </row>
        <row r="771">
          <cell r="B771">
            <v>4946240</v>
          </cell>
          <cell r="C771">
            <v>4942346</v>
          </cell>
          <cell r="D771" t="str">
            <v>ISF3.8</v>
          </cell>
          <cell r="E771" t="str">
            <v>气门室罩盖</v>
          </cell>
          <cell r="F771">
            <v>238.67</v>
          </cell>
        </row>
        <row r="772">
          <cell r="B772">
            <v>5296796</v>
          </cell>
        </row>
        <row r="772">
          <cell r="D772">
            <v>0</v>
          </cell>
          <cell r="E772" t="str">
            <v>气门室罩盖</v>
          </cell>
          <cell r="F772">
            <v>238.67</v>
          </cell>
        </row>
        <row r="773">
          <cell r="B773">
            <v>5293574</v>
          </cell>
        </row>
        <row r="773">
          <cell r="D773" t="str">
            <v>ISF4.5</v>
          </cell>
          <cell r="E773" t="str">
            <v>气门室罩盖</v>
          </cell>
          <cell r="F773">
            <v>238.67</v>
          </cell>
        </row>
        <row r="774">
          <cell r="B774">
            <v>5320456</v>
          </cell>
        </row>
        <row r="774">
          <cell r="D774" t="str">
            <v>ISF3.8</v>
          </cell>
          <cell r="E774" t="str">
            <v>气门室罩盖</v>
          </cell>
          <cell r="F774">
            <v>238.67</v>
          </cell>
        </row>
        <row r="775">
          <cell r="B775">
            <v>5298130</v>
          </cell>
        </row>
        <row r="775">
          <cell r="D775">
            <v>0</v>
          </cell>
          <cell r="E775" t="str">
            <v>气门室罩盖</v>
          </cell>
          <cell r="F775">
            <v>152.9</v>
          </cell>
        </row>
        <row r="776">
          <cell r="B776">
            <v>5338750</v>
          </cell>
          <cell r="C776">
            <v>3955393</v>
          </cell>
          <cell r="D776" t="str">
            <v>ISF3.8</v>
          </cell>
          <cell r="E776" t="str">
            <v>气门杆油封</v>
          </cell>
          <cell r="F776">
            <v>3.47</v>
          </cell>
        </row>
        <row r="777">
          <cell r="B777">
            <v>5338751</v>
          </cell>
          <cell r="C777">
            <v>4976170</v>
          </cell>
          <cell r="D777" t="str">
            <v>ISF2.8</v>
          </cell>
          <cell r="E777" t="str">
            <v>气门杆油封</v>
          </cell>
          <cell r="F777">
            <v>3.22</v>
          </cell>
        </row>
        <row r="778">
          <cell r="B778">
            <v>5612607</v>
          </cell>
        </row>
        <row r="778">
          <cell r="D778">
            <v>0</v>
          </cell>
          <cell r="E778" t="str">
            <v>气门杆导管</v>
          </cell>
          <cell r="F778">
            <v>42.9471</v>
          </cell>
        </row>
        <row r="779">
          <cell r="B779">
            <v>5612563</v>
          </cell>
        </row>
        <row r="779">
          <cell r="D779">
            <v>0</v>
          </cell>
          <cell r="E779" t="str">
            <v>气门导管</v>
          </cell>
          <cell r="F779">
            <v>20.94</v>
          </cell>
        </row>
        <row r="780">
          <cell r="B780">
            <v>5294128</v>
          </cell>
          <cell r="C780">
            <v>3943198</v>
          </cell>
          <cell r="D780" t="str">
            <v>ISF3.8</v>
          </cell>
          <cell r="E780" t="str">
            <v>气门弹簧座(国四领航)</v>
          </cell>
          <cell r="F780">
            <v>2.58</v>
          </cell>
        </row>
        <row r="781">
          <cell r="B781">
            <v>4976168</v>
          </cell>
        </row>
        <row r="781">
          <cell r="D781" t="str">
            <v>ISF2.8</v>
          </cell>
          <cell r="E781" t="str">
            <v>气门弹簧座</v>
          </cell>
          <cell r="F781">
            <v>1.94</v>
          </cell>
        </row>
        <row r="782">
          <cell r="B782">
            <v>4936080</v>
          </cell>
        </row>
        <row r="782">
          <cell r="D782" t="str">
            <v>ISF3.8</v>
          </cell>
          <cell r="E782" t="str">
            <v>气门弹簧(国四康瑞H3)</v>
          </cell>
          <cell r="F782">
            <v>5.73</v>
          </cell>
        </row>
        <row r="783">
          <cell r="B783">
            <v>4325045</v>
          </cell>
        </row>
        <row r="783">
          <cell r="D783" t="str">
            <v>ISF2.8</v>
          </cell>
          <cell r="E783" t="str">
            <v>气门弹簧</v>
          </cell>
          <cell r="F783">
            <v>9.64</v>
          </cell>
        </row>
        <row r="784">
          <cell r="B784">
            <v>5345531</v>
          </cell>
        </row>
        <row r="784">
          <cell r="D784">
            <v>0</v>
          </cell>
          <cell r="E784" t="str">
            <v>气门弹簧</v>
          </cell>
          <cell r="F784">
            <v>7.99</v>
          </cell>
        </row>
        <row r="785">
          <cell r="B785">
            <v>5307153</v>
          </cell>
        </row>
        <row r="785">
          <cell r="D785">
            <v>0</v>
          </cell>
          <cell r="E785" t="str">
            <v>气门弹簧</v>
          </cell>
          <cell r="F785">
            <v>4.25</v>
          </cell>
        </row>
        <row r="786">
          <cell r="B786">
            <v>5581924</v>
          </cell>
          <cell r="C786">
            <v>3697684</v>
          </cell>
          <cell r="D786" t="str">
            <v>ISG</v>
          </cell>
          <cell r="E786" t="str">
            <v>气缸套</v>
          </cell>
          <cell r="F786">
            <v>169.6923</v>
          </cell>
        </row>
        <row r="787">
          <cell r="B787">
            <v>5560068</v>
          </cell>
        </row>
        <row r="787">
          <cell r="D787">
            <v>0</v>
          </cell>
          <cell r="E787" t="str">
            <v>起动马达</v>
          </cell>
          <cell r="F787">
            <v>1305.78</v>
          </cell>
        </row>
        <row r="788">
          <cell r="B788">
            <v>5585087</v>
          </cell>
          <cell r="C788">
            <v>5446936</v>
          </cell>
          <cell r="D788" t="str">
            <v>ISF3.8</v>
          </cell>
          <cell r="E788" t="str">
            <v>起动机(国五)</v>
          </cell>
          <cell r="F788">
            <v>740.3976</v>
          </cell>
        </row>
        <row r="789">
          <cell r="B789">
            <v>5585086</v>
          </cell>
          <cell r="C789" t="str">
            <v>5268413/5319202</v>
          </cell>
          <cell r="D789" t="str">
            <v>ISF3.8</v>
          </cell>
          <cell r="E789" t="str">
            <v>起动机(国四)</v>
          </cell>
          <cell r="F789">
            <v>670.0329</v>
          </cell>
        </row>
        <row r="790">
          <cell r="B790">
            <v>5417269</v>
          </cell>
        </row>
        <row r="790">
          <cell r="D790">
            <v>0</v>
          </cell>
          <cell r="E790" t="str">
            <v>起动机</v>
          </cell>
          <cell r="F790">
            <v>1684.11</v>
          </cell>
        </row>
        <row r="791">
          <cell r="B791">
            <v>5614214</v>
          </cell>
        </row>
        <row r="791">
          <cell r="D791">
            <v>0</v>
          </cell>
          <cell r="E791" t="str">
            <v>起动机</v>
          </cell>
          <cell r="F791">
            <v>1599.91</v>
          </cell>
        </row>
        <row r="792">
          <cell r="B792">
            <v>5612169</v>
          </cell>
        </row>
        <row r="792">
          <cell r="D792">
            <v>0</v>
          </cell>
          <cell r="E792" t="str">
            <v>起动机</v>
          </cell>
          <cell r="F792">
            <v>1462.12</v>
          </cell>
        </row>
        <row r="793">
          <cell r="B793">
            <v>5614336</v>
          </cell>
        </row>
        <row r="793">
          <cell r="D793">
            <v>0</v>
          </cell>
          <cell r="E793" t="str">
            <v>起动机</v>
          </cell>
          <cell r="F793">
            <v>1371.07</v>
          </cell>
        </row>
        <row r="794">
          <cell r="B794">
            <v>3698436</v>
          </cell>
        </row>
        <row r="794">
          <cell r="D794" t="str">
            <v>ISG</v>
          </cell>
          <cell r="E794" t="str">
            <v>起动机</v>
          </cell>
          <cell r="F794">
            <v>1560.8142</v>
          </cell>
        </row>
        <row r="795">
          <cell r="B795">
            <v>5680879</v>
          </cell>
        </row>
        <row r="795">
          <cell r="D795">
            <v>0</v>
          </cell>
          <cell r="E795" t="str">
            <v>起动机</v>
          </cell>
          <cell r="F795">
            <v>1560.8142</v>
          </cell>
        </row>
        <row r="796">
          <cell r="B796">
            <v>5345288</v>
          </cell>
        </row>
        <row r="796">
          <cell r="D796" t="str">
            <v>ISF3.8</v>
          </cell>
          <cell r="E796" t="str">
            <v>起动机</v>
          </cell>
          <cell r="F796">
            <v>950.526</v>
          </cell>
        </row>
        <row r="797">
          <cell r="B797">
            <v>5441679</v>
          </cell>
          <cell r="C797">
            <v>5263797</v>
          </cell>
          <cell r="D797" t="str">
            <v>ISF2.8</v>
          </cell>
          <cell r="E797" t="str">
            <v>起动机</v>
          </cell>
          <cell r="F797">
            <v>928.863</v>
          </cell>
        </row>
        <row r="798">
          <cell r="B798">
            <v>5664541</v>
          </cell>
        </row>
        <row r="798">
          <cell r="D798">
            <v>0</v>
          </cell>
          <cell r="E798" t="str">
            <v>起动机</v>
          </cell>
          <cell r="F798">
            <v>819.96</v>
          </cell>
        </row>
        <row r="799">
          <cell r="B799">
            <v>5592070</v>
          </cell>
        </row>
        <row r="799">
          <cell r="D799">
            <v>0</v>
          </cell>
          <cell r="E799" t="str">
            <v>起动机</v>
          </cell>
          <cell r="F799">
            <v>789.06</v>
          </cell>
        </row>
        <row r="800">
          <cell r="B800">
            <v>5585088</v>
          </cell>
        </row>
        <row r="800">
          <cell r="D800">
            <v>0</v>
          </cell>
          <cell r="E800" t="str">
            <v>起动机</v>
          </cell>
          <cell r="F800">
            <v>784.0791</v>
          </cell>
        </row>
        <row r="801">
          <cell r="B801">
            <v>5294675</v>
          </cell>
        </row>
        <row r="801">
          <cell r="D801" t="str">
            <v>ISF2.8</v>
          </cell>
          <cell r="E801" t="str">
            <v>起动机</v>
          </cell>
          <cell r="F801">
            <v>741.276</v>
          </cell>
        </row>
        <row r="802">
          <cell r="B802">
            <v>5310341</v>
          </cell>
        </row>
        <row r="802">
          <cell r="D802">
            <v>0</v>
          </cell>
          <cell r="E802" t="str">
            <v>起动机</v>
          </cell>
          <cell r="F802">
            <v>753.64</v>
          </cell>
        </row>
        <row r="803">
          <cell r="B803">
            <v>5367425</v>
          </cell>
        </row>
        <row r="803">
          <cell r="D803">
            <v>0</v>
          </cell>
          <cell r="E803" t="str">
            <v>起动机</v>
          </cell>
          <cell r="F803">
            <v>735.471</v>
          </cell>
        </row>
        <row r="804">
          <cell r="B804">
            <v>5713487</v>
          </cell>
          <cell r="C804">
            <v>5340730</v>
          </cell>
          <cell r="D804" t="str">
            <v>ISF2.8</v>
          </cell>
          <cell r="E804" t="str">
            <v>起动机</v>
          </cell>
          <cell r="F804">
            <v>702.9738</v>
          </cell>
        </row>
        <row r="805">
          <cell r="B805">
            <v>5473872</v>
          </cell>
        </row>
        <row r="805">
          <cell r="D805">
            <v>0</v>
          </cell>
          <cell r="E805" t="str">
            <v>起动机</v>
          </cell>
          <cell r="F805">
            <v>690.7644</v>
          </cell>
        </row>
        <row r="806">
          <cell r="B806">
            <v>5441279</v>
          </cell>
        </row>
        <row r="806">
          <cell r="D806">
            <v>0</v>
          </cell>
          <cell r="E806" t="str">
            <v>起动机</v>
          </cell>
          <cell r="F806">
            <v>682.3035</v>
          </cell>
        </row>
        <row r="807">
          <cell r="B807">
            <v>5363153</v>
          </cell>
          <cell r="C807" t="str">
            <v>5266969/5295576/5311304</v>
          </cell>
          <cell r="D807" t="str">
            <v>ISF2.8</v>
          </cell>
          <cell r="E807" t="str">
            <v>起动机</v>
          </cell>
          <cell r="F807">
            <v>659.2005</v>
          </cell>
        </row>
        <row r="808">
          <cell r="B808">
            <v>215921</v>
          </cell>
        </row>
        <row r="808">
          <cell r="D808">
            <v>0</v>
          </cell>
          <cell r="E808" t="str">
            <v>普通软管接头</v>
          </cell>
          <cell r="F808">
            <v>33.97</v>
          </cell>
        </row>
        <row r="809">
          <cell r="B809">
            <v>5614445</v>
          </cell>
        </row>
        <row r="809">
          <cell r="D809">
            <v>0</v>
          </cell>
          <cell r="E809" t="str">
            <v>普通软管接头</v>
          </cell>
          <cell r="F809">
            <v>25.41</v>
          </cell>
        </row>
        <row r="810">
          <cell r="B810">
            <v>5670115</v>
          </cell>
        </row>
        <row r="810">
          <cell r="D810">
            <v>0</v>
          </cell>
          <cell r="E810" t="str">
            <v>普通软管接头</v>
          </cell>
          <cell r="F810">
            <v>16.41</v>
          </cell>
        </row>
        <row r="811">
          <cell r="B811">
            <v>5661951</v>
          </cell>
        </row>
        <row r="811">
          <cell r="D811">
            <v>0</v>
          </cell>
          <cell r="E811" t="str">
            <v>普通软管接头</v>
          </cell>
          <cell r="F811">
            <v>15.45</v>
          </cell>
        </row>
        <row r="812">
          <cell r="B812">
            <v>5686919</v>
          </cell>
        </row>
        <row r="812">
          <cell r="D812">
            <v>0</v>
          </cell>
          <cell r="E812" t="str">
            <v>平型软管</v>
          </cell>
          <cell r="F812">
            <v>103.05</v>
          </cell>
        </row>
        <row r="813">
          <cell r="B813">
            <v>5669446</v>
          </cell>
        </row>
        <row r="813">
          <cell r="D813">
            <v>0</v>
          </cell>
          <cell r="E813" t="str">
            <v>平型软管</v>
          </cell>
          <cell r="F813">
            <v>32.22</v>
          </cell>
        </row>
        <row r="814">
          <cell r="B814">
            <v>5614298</v>
          </cell>
        </row>
        <row r="814">
          <cell r="D814">
            <v>0</v>
          </cell>
          <cell r="E814" t="str">
            <v>平型软管</v>
          </cell>
          <cell r="F814">
            <v>31.64</v>
          </cell>
        </row>
        <row r="815">
          <cell r="B815">
            <v>5614300</v>
          </cell>
        </row>
        <row r="815">
          <cell r="D815">
            <v>0</v>
          </cell>
          <cell r="E815" t="str">
            <v>平型软管</v>
          </cell>
          <cell r="F815">
            <v>28.74</v>
          </cell>
        </row>
        <row r="816">
          <cell r="B816">
            <v>5662223</v>
          </cell>
        </row>
        <row r="816">
          <cell r="D816">
            <v>0</v>
          </cell>
          <cell r="E816" t="str">
            <v>平型软管</v>
          </cell>
          <cell r="F816">
            <v>20.43</v>
          </cell>
        </row>
        <row r="817">
          <cell r="B817">
            <v>4983283</v>
          </cell>
        </row>
        <row r="817">
          <cell r="D817" t="str">
            <v>ISF3.8</v>
          </cell>
          <cell r="E817" t="str">
            <v>平头螺栓</v>
          </cell>
          <cell r="F817">
            <v>2.49</v>
          </cell>
        </row>
        <row r="818">
          <cell r="B818">
            <v>5255748</v>
          </cell>
        </row>
        <row r="818">
          <cell r="D818" t="str">
            <v>ISF2.8</v>
          </cell>
          <cell r="E818" t="str">
            <v>平头螺栓</v>
          </cell>
          <cell r="F818">
            <v>1.45</v>
          </cell>
        </row>
        <row r="819">
          <cell r="B819">
            <v>3695852</v>
          </cell>
        </row>
        <row r="819">
          <cell r="D819" t="str">
            <v>ISG</v>
          </cell>
          <cell r="E819" t="str">
            <v>平头螺栓</v>
          </cell>
          <cell r="F819">
            <v>1.2</v>
          </cell>
        </row>
        <row r="820">
          <cell r="B820">
            <v>5371084</v>
          </cell>
        </row>
        <row r="820">
          <cell r="D820" t="str">
            <v>ISG</v>
          </cell>
          <cell r="E820" t="str">
            <v>平垫圈</v>
          </cell>
          <cell r="F820">
            <v>4.58</v>
          </cell>
        </row>
        <row r="821">
          <cell r="B821">
            <v>3035177</v>
          </cell>
        </row>
        <row r="821">
          <cell r="D821" t="str">
            <v>ISF2.8</v>
          </cell>
          <cell r="E821" t="str">
            <v>平垫圈</v>
          </cell>
          <cell r="F821">
            <v>2.4</v>
          </cell>
        </row>
        <row r="822">
          <cell r="B822">
            <v>5310407</v>
          </cell>
        </row>
        <row r="822">
          <cell r="D822" t="str">
            <v>ISF2.8</v>
          </cell>
          <cell r="E822" t="str">
            <v>平垫圈</v>
          </cell>
          <cell r="F822">
            <v>1.94</v>
          </cell>
        </row>
        <row r="823">
          <cell r="B823">
            <v>5727076</v>
          </cell>
        </row>
        <row r="823">
          <cell r="D823">
            <v>0</v>
          </cell>
          <cell r="E823" t="str">
            <v>平垫圈</v>
          </cell>
          <cell r="F823">
            <v>1.36</v>
          </cell>
        </row>
        <row r="824">
          <cell r="B824">
            <v>3042328</v>
          </cell>
        </row>
        <row r="824">
          <cell r="D824">
            <v>0</v>
          </cell>
          <cell r="E824" t="str">
            <v>平垫</v>
          </cell>
          <cell r="F824">
            <v>1.47</v>
          </cell>
        </row>
        <row r="825">
          <cell r="B825">
            <v>3696362</v>
          </cell>
        </row>
        <row r="825">
          <cell r="D825" t="str">
            <v>ISG</v>
          </cell>
          <cell r="E825" t="str">
            <v>皮带涨紧轮支架</v>
          </cell>
          <cell r="F825">
            <v>115.07</v>
          </cell>
        </row>
        <row r="826">
          <cell r="B826">
            <v>3698306</v>
          </cell>
        </row>
        <row r="826">
          <cell r="D826" t="str">
            <v>ISG</v>
          </cell>
          <cell r="E826" t="str">
            <v>皮带涨紧轮</v>
          </cell>
          <cell r="F826">
            <v>257.74</v>
          </cell>
        </row>
        <row r="827">
          <cell r="B827">
            <v>5581887</v>
          </cell>
        </row>
        <row r="827">
          <cell r="D827">
            <v>0</v>
          </cell>
          <cell r="E827" t="str">
            <v>皮带涨紧轮</v>
          </cell>
          <cell r="F827">
            <v>219.14</v>
          </cell>
        </row>
        <row r="828">
          <cell r="B828">
            <v>5317208</v>
          </cell>
        </row>
        <row r="828">
          <cell r="D828">
            <v>0</v>
          </cell>
          <cell r="E828" t="str">
            <v>皮带涨紧轮</v>
          </cell>
          <cell r="F828">
            <v>200</v>
          </cell>
        </row>
        <row r="829">
          <cell r="B829">
            <v>5287021</v>
          </cell>
        </row>
        <row r="829">
          <cell r="D829" t="str">
            <v>ISF3.8</v>
          </cell>
          <cell r="E829" t="str">
            <v>皮带涨紧轮</v>
          </cell>
          <cell r="F829">
            <v>186.8</v>
          </cell>
        </row>
        <row r="830">
          <cell r="B830">
            <v>5582206</v>
          </cell>
        </row>
        <row r="830">
          <cell r="D830">
            <v>0</v>
          </cell>
          <cell r="E830" t="str">
            <v>皮带涨紧轮</v>
          </cell>
          <cell r="F830">
            <v>183.18</v>
          </cell>
        </row>
        <row r="831">
          <cell r="B831">
            <v>5446323</v>
          </cell>
        </row>
        <row r="831">
          <cell r="D831">
            <v>0</v>
          </cell>
          <cell r="E831" t="str">
            <v>皮带涨紧轮</v>
          </cell>
          <cell r="F831">
            <v>179.52</v>
          </cell>
        </row>
        <row r="832">
          <cell r="B832">
            <v>5287020</v>
          </cell>
        </row>
        <row r="832">
          <cell r="D832" t="str">
            <v>ISF3.8</v>
          </cell>
          <cell r="E832" t="str">
            <v>皮带涨紧轮</v>
          </cell>
          <cell r="F832">
            <v>174.82</v>
          </cell>
        </row>
        <row r="833">
          <cell r="B833">
            <v>5271282</v>
          </cell>
        </row>
        <row r="833">
          <cell r="D833" t="str">
            <v>ISF2.8</v>
          </cell>
          <cell r="E833" t="str">
            <v>皮带涨紧轮</v>
          </cell>
          <cell r="F833">
            <v>157.51</v>
          </cell>
        </row>
        <row r="834">
          <cell r="B834">
            <v>5398362</v>
          </cell>
        </row>
        <row r="834">
          <cell r="D834" t="str">
            <v>ISF2.8</v>
          </cell>
          <cell r="E834" t="str">
            <v>皮带涨紧轮</v>
          </cell>
          <cell r="F834">
            <v>153.41</v>
          </cell>
        </row>
        <row r="835">
          <cell r="B835">
            <v>5365534</v>
          </cell>
        </row>
        <row r="835">
          <cell r="D835" t="str">
            <v>ISF2.8</v>
          </cell>
          <cell r="E835" t="str">
            <v>皮带涨紧轮</v>
          </cell>
          <cell r="F835">
            <v>150.12</v>
          </cell>
        </row>
        <row r="836">
          <cell r="B836">
            <v>5262500</v>
          </cell>
        </row>
        <row r="836">
          <cell r="D836" t="str">
            <v>ISF2.8</v>
          </cell>
          <cell r="E836" t="str">
            <v>皮带涨紧轮</v>
          </cell>
          <cell r="F836">
            <v>135.19</v>
          </cell>
        </row>
        <row r="837">
          <cell r="B837">
            <v>5621364</v>
          </cell>
          <cell r="C837">
            <v>3694434</v>
          </cell>
          <cell r="D837" t="str">
            <v>ISG</v>
          </cell>
          <cell r="E837" t="str">
            <v>皮带张紧器</v>
          </cell>
          <cell r="F837">
            <v>189.24</v>
          </cell>
        </row>
        <row r="838">
          <cell r="B838">
            <v>5582944</v>
          </cell>
        </row>
        <row r="838">
          <cell r="D838" t="str">
            <v>ISG</v>
          </cell>
          <cell r="E838" t="str">
            <v>皮带张紧器</v>
          </cell>
          <cell r="F838">
            <v>183.18</v>
          </cell>
        </row>
        <row r="839">
          <cell r="B839">
            <v>5255314</v>
          </cell>
        </row>
        <row r="839">
          <cell r="D839" t="str">
            <v>ISF2.8</v>
          </cell>
          <cell r="E839" t="str">
            <v>喷油器油封</v>
          </cell>
          <cell r="F839">
            <v>8.55</v>
          </cell>
        </row>
        <row r="840">
          <cell r="B840">
            <v>5529554</v>
          </cell>
        </row>
        <row r="840">
          <cell r="D840" t="str">
            <v>ISF2.8</v>
          </cell>
          <cell r="E840" t="str">
            <v>喷油器压板</v>
          </cell>
          <cell r="F840">
            <v>43.4367</v>
          </cell>
        </row>
        <row r="841">
          <cell r="B841">
            <v>3695543</v>
          </cell>
        </row>
        <row r="841">
          <cell r="D841" t="str">
            <v>ISG</v>
          </cell>
          <cell r="E841" t="str">
            <v>喷油器压板</v>
          </cell>
          <cell r="F841">
            <v>23.7915</v>
          </cell>
        </row>
        <row r="842">
          <cell r="B842">
            <v>5405579</v>
          </cell>
          <cell r="C842">
            <v>5261097</v>
          </cell>
          <cell r="D842" t="str">
            <v>ISF2.8</v>
          </cell>
          <cell r="E842" t="str">
            <v>喷油器压板</v>
          </cell>
          <cell r="F842">
            <v>19.332</v>
          </cell>
        </row>
        <row r="843">
          <cell r="B843">
            <v>4944917</v>
          </cell>
        </row>
        <row r="843">
          <cell r="D843" t="str">
            <v>ISF3.8</v>
          </cell>
          <cell r="E843" t="str">
            <v>喷油器压板</v>
          </cell>
          <cell r="F843">
            <v>16.14</v>
          </cell>
        </row>
        <row r="844">
          <cell r="B844">
            <v>5622323</v>
          </cell>
          <cell r="C844">
            <v>5289407</v>
          </cell>
          <cell r="D844" t="str">
            <v>ISF3.8</v>
          </cell>
          <cell r="E844" t="str">
            <v>喷油器线束</v>
          </cell>
          <cell r="F844">
            <v>95.0453</v>
          </cell>
        </row>
        <row r="845">
          <cell r="B845">
            <v>5255313</v>
          </cell>
        </row>
        <row r="845">
          <cell r="D845" t="str">
            <v>ISF2.8</v>
          </cell>
          <cell r="E845" t="str">
            <v>喷油器密封垫</v>
          </cell>
          <cell r="F845">
            <v>30.1104</v>
          </cell>
        </row>
        <row r="846">
          <cell r="B846">
            <v>5486342</v>
          </cell>
        </row>
        <row r="846">
          <cell r="D846" t="str">
            <v>ISG</v>
          </cell>
          <cell r="E846" t="str">
            <v>喷油器密封垫</v>
          </cell>
          <cell r="F846">
            <v>20.6244</v>
          </cell>
        </row>
        <row r="847">
          <cell r="B847">
            <v>3976371</v>
          </cell>
        </row>
        <row r="847">
          <cell r="D847" t="str">
            <v>ISF3.8</v>
          </cell>
          <cell r="E847" t="str">
            <v>喷油器密封垫</v>
          </cell>
          <cell r="F847">
            <v>13.58</v>
          </cell>
        </row>
        <row r="848">
          <cell r="B848">
            <v>5612388</v>
          </cell>
        </row>
        <row r="848">
          <cell r="D848" t="str">
            <v>ISG</v>
          </cell>
          <cell r="E848" t="str">
            <v>喷油器密封垫</v>
          </cell>
          <cell r="F848">
            <v>17.8</v>
          </cell>
        </row>
        <row r="849">
          <cell r="B849">
            <v>5319508</v>
          </cell>
        </row>
        <row r="849">
          <cell r="D849">
            <v>0</v>
          </cell>
          <cell r="E849" t="str">
            <v>喷油器密封垫</v>
          </cell>
          <cell r="F849">
            <v>10</v>
          </cell>
        </row>
        <row r="850">
          <cell r="B850">
            <v>5288374</v>
          </cell>
        </row>
        <row r="850">
          <cell r="D850" t="str">
            <v>ISF3.8</v>
          </cell>
          <cell r="E850" t="str">
            <v>喷油器密封垫</v>
          </cell>
          <cell r="F850">
            <v>6.2</v>
          </cell>
        </row>
        <row r="851">
          <cell r="B851">
            <v>5290486</v>
          </cell>
        </row>
        <row r="851">
          <cell r="D851" t="str">
            <v>ISF2.8</v>
          </cell>
          <cell r="E851" t="str">
            <v>喷油器密封垫</v>
          </cell>
          <cell r="F851">
            <v>4.47</v>
          </cell>
        </row>
        <row r="852">
          <cell r="B852">
            <v>5572006</v>
          </cell>
        </row>
        <row r="852">
          <cell r="D852" t="str">
            <v>ISG</v>
          </cell>
          <cell r="E852" t="str">
            <v>喷油器国六</v>
          </cell>
          <cell r="F852">
            <v>1623.4474</v>
          </cell>
        </row>
        <row r="853">
          <cell r="B853">
            <v>5568151</v>
          </cell>
        </row>
        <row r="853">
          <cell r="D853">
            <v>0</v>
          </cell>
          <cell r="E853" t="str">
            <v>喷油器供油管</v>
          </cell>
          <cell r="F853">
            <v>255.45</v>
          </cell>
        </row>
        <row r="854">
          <cell r="B854">
            <v>5568153</v>
          </cell>
          <cell r="C854">
            <v>5310118</v>
          </cell>
          <cell r="D854" t="str">
            <v>ISF3.8</v>
          </cell>
          <cell r="E854" t="str">
            <v>喷油器供油管</v>
          </cell>
          <cell r="F854">
            <v>161.34</v>
          </cell>
        </row>
        <row r="855">
          <cell r="B855">
            <v>5564858</v>
          </cell>
        </row>
        <row r="855">
          <cell r="D855" t="str">
            <v>ISF3.8</v>
          </cell>
          <cell r="E855" t="str">
            <v>喷油器供油管</v>
          </cell>
          <cell r="F855">
            <v>119.44</v>
          </cell>
        </row>
        <row r="856">
          <cell r="B856">
            <v>5566968</v>
          </cell>
        </row>
        <row r="856">
          <cell r="D856">
            <v>0</v>
          </cell>
          <cell r="E856" t="str">
            <v>喷油器供油管</v>
          </cell>
          <cell r="F856">
            <v>114.62</v>
          </cell>
        </row>
        <row r="857">
          <cell r="B857">
            <v>3696203</v>
          </cell>
        </row>
        <row r="857">
          <cell r="D857" t="str">
            <v>ISG</v>
          </cell>
          <cell r="E857" t="str">
            <v>喷油器供油管</v>
          </cell>
          <cell r="F857">
            <v>136.629</v>
          </cell>
        </row>
        <row r="858">
          <cell r="B858">
            <v>3696204</v>
          </cell>
        </row>
        <row r="858">
          <cell r="D858" t="str">
            <v>ISG</v>
          </cell>
          <cell r="E858" t="str">
            <v>喷油器供油管</v>
          </cell>
          <cell r="F858">
            <v>136.629</v>
          </cell>
        </row>
        <row r="859">
          <cell r="B859">
            <v>5282414</v>
          </cell>
        </row>
        <row r="859">
          <cell r="D859" t="str">
            <v>ISF3.8</v>
          </cell>
          <cell r="E859" t="str">
            <v>喷油器供油管</v>
          </cell>
          <cell r="F859">
            <v>107.03</v>
          </cell>
        </row>
        <row r="860">
          <cell r="B860">
            <v>5282416</v>
          </cell>
        </row>
        <row r="860">
          <cell r="D860" t="str">
            <v>ISF3.8</v>
          </cell>
          <cell r="E860" t="str">
            <v>喷油器供油管</v>
          </cell>
          <cell r="F860">
            <v>106.77</v>
          </cell>
        </row>
        <row r="861">
          <cell r="B861">
            <v>5536515</v>
          </cell>
        </row>
        <row r="861">
          <cell r="D861" t="str">
            <v>ISG</v>
          </cell>
          <cell r="E861" t="str">
            <v>喷油器供油管</v>
          </cell>
          <cell r="F861">
            <v>124.7256</v>
          </cell>
        </row>
        <row r="862">
          <cell r="B862">
            <v>5536516</v>
          </cell>
        </row>
        <row r="862">
          <cell r="D862" t="str">
            <v>ISG</v>
          </cell>
          <cell r="E862" t="str">
            <v>喷油器供油管</v>
          </cell>
          <cell r="F862">
            <v>124.7256</v>
          </cell>
        </row>
        <row r="863">
          <cell r="B863">
            <v>5568155</v>
          </cell>
        </row>
        <row r="863">
          <cell r="D863" t="str">
            <v>ISF3.8</v>
          </cell>
          <cell r="E863" t="str">
            <v>喷油器供油管</v>
          </cell>
          <cell r="F863">
            <v>102.66</v>
          </cell>
        </row>
        <row r="864">
          <cell r="B864">
            <v>5284843</v>
          </cell>
        </row>
        <row r="864">
          <cell r="D864" t="str">
            <v>ISF3.8</v>
          </cell>
          <cell r="E864" t="str">
            <v>喷油器供油管</v>
          </cell>
          <cell r="F864">
            <v>65.99</v>
          </cell>
        </row>
        <row r="865">
          <cell r="B865">
            <v>5284841</v>
          </cell>
        </row>
        <row r="865">
          <cell r="D865" t="str">
            <v>ISF3.8</v>
          </cell>
          <cell r="E865" t="str">
            <v>喷油器供油管</v>
          </cell>
          <cell r="F865">
            <v>66.2337</v>
          </cell>
        </row>
        <row r="866">
          <cell r="B866">
            <v>5303841</v>
          </cell>
        </row>
        <row r="866">
          <cell r="D866" t="str">
            <v>ISF3.8</v>
          </cell>
          <cell r="E866" t="str">
            <v>喷油器供油管</v>
          </cell>
          <cell r="F866">
            <v>58.9968</v>
          </cell>
        </row>
        <row r="867">
          <cell r="B867">
            <v>5303843</v>
          </cell>
        </row>
        <row r="867">
          <cell r="D867" t="str">
            <v>ISF3.8</v>
          </cell>
          <cell r="E867" t="str">
            <v>喷油器供油管</v>
          </cell>
          <cell r="F867">
            <v>58.9968</v>
          </cell>
        </row>
        <row r="868">
          <cell r="B868">
            <v>5303844</v>
          </cell>
        </row>
        <row r="868">
          <cell r="D868" t="str">
            <v>ISF3.8</v>
          </cell>
          <cell r="E868" t="str">
            <v>喷油器供油管</v>
          </cell>
          <cell r="F868">
            <v>58.9968</v>
          </cell>
        </row>
        <row r="869">
          <cell r="B869">
            <v>5312147</v>
          </cell>
        </row>
        <row r="869">
          <cell r="D869" t="str">
            <v>ISF3.8</v>
          </cell>
          <cell r="E869" t="str">
            <v>喷油器供油管</v>
          </cell>
          <cell r="F869">
            <v>58.9968</v>
          </cell>
        </row>
        <row r="870">
          <cell r="B870">
            <v>4941699</v>
          </cell>
        </row>
        <row r="870">
          <cell r="D870" t="str">
            <v>ISF3.8</v>
          </cell>
          <cell r="E870" t="str">
            <v>喷油器供油管</v>
          </cell>
          <cell r="F870">
            <v>50.06</v>
          </cell>
        </row>
        <row r="871">
          <cell r="B871">
            <v>4941701</v>
          </cell>
        </row>
        <row r="871">
          <cell r="D871" t="str">
            <v>ISF3.8</v>
          </cell>
          <cell r="E871" t="str">
            <v>喷油器供油管</v>
          </cell>
          <cell r="F871">
            <v>50.06</v>
          </cell>
        </row>
        <row r="872">
          <cell r="B872">
            <v>5529555</v>
          </cell>
        </row>
        <row r="872">
          <cell r="D872" t="str">
            <v>ISF2.8</v>
          </cell>
          <cell r="E872" t="str">
            <v>喷油器供油管</v>
          </cell>
          <cell r="F872">
            <v>45.75</v>
          </cell>
        </row>
        <row r="873">
          <cell r="B873">
            <v>5529557</v>
          </cell>
        </row>
        <row r="873">
          <cell r="D873" t="str">
            <v>ISF2.8</v>
          </cell>
          <cell r="E873" t="str">
            <v>喷油器供油管</v>
          </cell>
          <cell r="F873">
            <v>45.75</v>
          </cell>
        </row>
        <row r="874">
          <cell r="B874">
            <v>5333881</v>
          </cell>
        </row>
        <row r="874">
          <cell r="D874" t="str">
            <v>ISF3.8</v>
          </cell>
          <cell r="E874" t="str">
            <v>喷油器供油管</v>
          </cell>
          <cell r="F874">
            <v>44.19</v>
          </cell>
        </row>
        <row r="875">
          <cell r="B875">
            <v>5333883</v>
          </cell>
        </row>
        <row r="875">
          <cell r="D875" t="str">
            <v>ISF3.8</v>
          </cell>
          <cell r="E875" t="str">
            <v>喷油器供油管</v>
          </cell>
          <cell r="F875">
            <v>44.19</v>
          </cell>
        </row>
        <row r="876">
          <cell r="B876">
            <v>5258983</v>
          </cell>
        </row>
        <row r="876">
          <cell r="D876" t="str">
            <v>ISF2.8</v>
          </cell>
          <cell r="E876" t="str">
            <v>喷油器供油管</v>
          </cell>
          <cell r="F876">
            <v>38.97</v>
          </cell>
        </row>
        <row r="877">
          <cell r="B877">
            <v>5491531</v>
          </cell>
        </row>
        <row r="877">
          <cell r="D877" t="str">
            <v>ISG</v>
          </cell>
          <cell r="E877" t="str">
            <v>喷油器</v>
          </cell>
          <cell r="F877">
            <v>1338.6</v>
          </cell>
        </row>
        <row r="878">
          <cell r="B878">
            <v>4307475</v>
          </cell>
        </row>
        <row r="878">
          <cell r="D878" t="str">
            <v>ISG</v>
          </cell>
          <cell r="E878" t="str">
            <v>喷油器</v>
          </cell>
          <cell r="F878">
            <v>1623.48</v>
          </cell>
        </row>
        <row r="879">
          <cell r="B879">
            <v>5491515</v>
          </cell>
        </row>
        <row r="879">
          <cell r="D879" t="str">
            <v>ISG</v>
          </cell>
          <cell r="E879" t="str">
            <v>喷油器</v>
          </cell>
          <cell r="F879">
            <v>1623.4474</v>
          </cell>
        </row>
        <row r="880">
          <cell r="B880">
            <v>5296723</v>
          </cell>
        </row>
        <row r="880">
          <cell r="D880" t="str">
            <v>ISF3.8</v>
          </cell>
          <cell r="E880" t="str">
            <v>喷油器</v>
          </cell>
          <cell r="F880">
            <v>1162.7931</v>
          </cell>
        </row>
        <row r="881">
          <cell r="B881">
            <v>5561480</v>
          </cell>
        </row>
        <row r="881">
          <cell r="D881" t="str">
            <v>ISF4.5</v>
          </cell>
          <cell r="E881" t="str">
            <v>喷油器</v>
          </cell>
          <cell r="F881">
            <v>1066.428</v>
          </cell>
        </row>
        <row r="882">
          <cell r="B882">
            <v>5264272</v>
          </cell>
        </row>
        <row r="882">
          <cell r="D882" t="str">
            <v>ISF3.8</v>
          </cell>
          <cell r="E882" t="str">
            <v>喷油器</v>
          </cell>
          <cell r="F882">
            <v>1096.344</v>
          </cell>
        </row>
        <row r="883">
          <cell r="B883">
            <v>5337000</v>
          </cell>
        </row>
        <row r="883">
          <cell r="D883" t="str">
            <v>ISF3.8</v>
          </cell>
          <cell r="E883" t="str">
            <v>喷油器</v>
          </cell>
          <cell r="F883">
            <v>1033.776</v>
          </cell>
        </row>
        <row r="884">
          <cell r="B884">
            <v>5364543</v>
          </cell>
        </row>
        <row r="884">
          <cell r="D884" t="str">
            <v>ISF4.5</v>
          </cell>
          <cell r="E884" t="str">
            <v>喷油器</v>
          </cell>
          <cell r="F884">
            <v>1010</v>
          </cell>
        </row>
        <row r="885">
          <cell r="B885">
            <v>5589191</v>
          </cell>
        </row>
        <row r="885">
          <cell r="D885" t="str">
            <v>ISF2.8</v>
          </cell>
          <cell r="E885" t="str">
            <v>喷油器</v>
          </cell>
          <cell r="F885">
            <v>972.12</v>
          </cell>
        </row>
        <row r="886">
          <cell r="B886">
            <v>5283275</v>
          </cell>
          <cell r="C886" t="str">
            <v>4947582/0445120134</v>
          </cell>
          <cell r="D886" t="str">
            <v>ISF3.8</v>
          </cell>
          <cell r="E886" t="str">
            <v>喷油器</v>
          </cell>
          <cell r="F886">
            <v>969.1491</v>
          </cell>
        </row>
        <row r="887">
          <cell r="B887">
            <v>5589197</v>
          </cell>
          <cell r="C887" t="str">
            <v>5258744/5309291</v>
          </cell>
          <cell r="D887" t="str">
            <v>ISF2.8</v>
          </cell>
          <cell r="E887" t="str">
            <v>喷油器</v>
          </cell>
          <cell r="F887">
            <v>858.847</v>
          </cell>
        </row>
        <row r="888">
          <cell r="B888">
            <v>5626420</v>
          </cell>
        </row>
        <row r="888">
          <cell r="D888" t="str">
            <v>ISF2.8</v>
          </cell>
          <cell r="E888" t="str">
            <v>喷油器</v>
          </cell>
          <cell r="F888">
            <v>800</v>
          </cell>
        </row>
        <row r="889">
          <cell r="B889">
            <v>5667566</v>
          </cell>
        </row>
        <row r="889">
          <cell r="D889" t="str">
            <v>ISF2.5</v>
          </cell>
          <cell r="E889" t="str">
            <v>喷油器</v>
          </cell>
          <cell r="F889">
            <v>779</v>
          </cell>
        </row>
        <row r="890">
          <cell r="B890">
            <v>5589195</v>
          </cell>
          <cell r="C890">
            <v>5347134</v>
          </cell>
          <cell r="D890" t="str">
            <v>ISG</v>
          </cell>
          <cell r="E890" t="str">
            <v>喷油器</v>
          </cell>
          <cell r="F890">
            <v>674.19</v>
          </cell>
        </row>
        <row r="891">
          <cell r="B891">
            <v>5336051</v>
          </cell>
        </row>
        <row r="891">
          <cell r="D891" t="str">
            <v>ISF2.8</v>
          </cell>
          <cell r="E891" t="str">
            <v>喷油器</v>
          </cell>
          <cell r="F891">
            <v>241.5497</v>
          </cell>
        </row>
        <row r="892">
          <cell r="B892">
            <v>5336050</v>
          </cell>
        </row>
        <row r="892">
          <cell r="D892" t="str">
            <v>ISF2.8</v>
          </cell>
          <cell r="E892" t="str">
            <v>喷油器</v>
          </cell>
          <cell r="F892">
            <v>223.218</v>
          </cell>
        </row>
        <row r="893">
          <cell r="B893">
            <v>5404864</v>
          </cell>
        </row>
        <row r="893">
          <cell r="D893">
            <v>0</v>
          </cell>
          <cell r="E893" t="str">
            <v>喷油泵</v>
          </cell>
          <cell r="F893">
            <v>5222.7156</v>
          </cell>
        </row>
        <row r="894">
          <cell r="B894">
            <v>5619245</v>
          </cell>
        </row>
        <row r="894">
          <cell r="D894">
            <v>0</v>
          </cell>
          <cell r="E894" t="str">
            <v>旁通水管</v>
          </cell>
          <cell r="F894">
            <v>241.2</v>
          </cell>
        </row>
        <row r="895">
          <cell r="B895">
            <v>5536908</v>
          </cell>
        </row>
        <row r="895">
          <cell r="D895" t="str">
            <v>ISG</v>
          </cell>
          <cell r="E895" t="str">
            <v>旁通水管</v>
          </cell>
          <cell r="F895">
            <v>199.8</v>
          </cell>
        </row>
        <row r="896">
          <cell r="B896">
            <v>5590389</v>
          </cell>
        </row>
        <row r="896">
          <cell r="D896">
            <v>0</v>
          </cell>
          <cell r="E896" t="str">
            <v>旁通水管</v>
          </cell>
          <cell r="F896">
            <v>189.48</v>
          </cell>
        </row>
        <row r="897">
          <cell r="B897">
            <v>5614903</v>
          </cell>
        </row>
        <row r="897">
          <cell r="D897">
            <v>0</v>
          </cell>
          <cell r="E897" t="str">
            <v>旁通水管</v>
          </cell>
          <cell r="F897">
            <v>174.13</v>
          </cell>
        </row>
        <row r="898">
          <cell r="B898">
            <v>5486870</v>
          </cell>
        </row>
        <row r="898">
          <cell r="D898">
            <v>0</v>
          </cell>
          <cell r="E898" t="str">
            <v>旁通水管</v>
          </cell>
          <cell r="F898">
            <v>174.13</v>
          </cell>
        </row>
        <row r="899">
          <cell r="B899">
            <v>3698320</v>
          </cell>
        </row>
        <row r="899">
          <cell r="D899" t="str">
            <v>ISG</v>
          </cell>
          <cell r="E899" t="str">
            <v>旁通水管</v>
          </cell>
          <cell r="F899">
            <v>154.1</v>
          </cell>
        </row>
        <row r="900">
          <cell r="B900">
            <v>3697437</v>
          </cell>
        </row>
        <row r="900">
          <cell r="D900">
            <v>0</v>
          </cell>
          <cell r="E900" t="str">
            <v>旁通水管</v>
          </cell>
          <cell r="F900">
            <v>95.8086</v>
          </cell>
        </row>
        <row r="901">
          <cell r="B901">
            <v>3698325</v>
          </cell>
        </row>
        <row r="901">
          <cell r="D901">
            <v>0</v>
          </cell>
          <cell r="E901" t="str">
            <v>旁通水管</v>
          </cell>
          <cell r="F901">
            <v>75.47</v>
          </cell>
        </row>
        <row r="902">
          <cell r="B902">
            <v>3698326</v>
          </cell>
        </row>
        <row r="902">
          <cell r="D902" t="str">
            <v>ISG</v>
          </cell>
          <cell r="E902" t="str">
            <v>旁通水管</v>
          </cell>
          <cell r="F902">
            <v>74.1</v>
          </cell>
        </row>
        <row r="903">
          <cell r="B903">
            <v>3693633</v>
          </cell>
        </row>
        <row r="903">
          <cell r="D903" t="str">
            <v>ISG</v>
          </cell>
          <cell r="E903" t="str">
            <v>旁通水管</v>
          </cell>
          <cell r="F903">
            <v>73.23</v>
          </cell>
        </row>
        <row r="904">
          <cell r="B904">
            <v>5477996</v>
          </cell>
        </row>
        <row r="904">
          <cell r="D904" t="str">
            <v>ISF2.8</v>
          </cell>
          <cell r="E904" t="str">
            <v>旁通水管</v>
          </cell>
          <cell r="F904">
            <v>62.172</v>
          </cell>
        </row>
        <row r="905">
          <cell r="B905">
            <v>3698322</v>
          </cell>
        </row>
        <row r="905">
          <cell r="D905">
            <v>0</v>
          </cell>
          <cell r="E905" t="str">
            <v>旁通水管</v>
          </cell>
          <cell r="F905">
            <v>65.88</v>
          </cell>
        </row>
        <row r="906">
          <cell r="B906">
            <v>5582096</v>
          </cell>
        </row>
        <row r="906">
          <cell r="D906" t="str">
            <v>ISG</v>
          </cell>
          <cell r="E906" t="str">
            <v>旁通水管</v>
          </cell>
          <cell r="F906">
            <v>70.9155</v>
          </cell>
        </row>
        <row r="907">
          <cell r="B907">
            <v>3697436</v>
          </cell>
        </row>
        <row r="907">
          <cell r="D907" t="str">
            <v>ISG</v>
          </cell>
          <cell r="E907" t="str">
            <v>旁通水管</v>
          </cell>
          <cell r="F907">
            <v>62.0721</v>
          </cell>
        </row>
        <row r="908">
          <cell r="B908">
            <v>5265278</v>
          </cell>
        </row>
        <row r="908">
          <cell r="D908" t="str">
            <v>ISF2.8</v>
          </cell>
          <cell r="E908" t="str">
            <v>旁通水管</v>
          </cell>
          <cell r="F908">
            <v>27.8307</v>
          </cell>
        </row>
        <row r="909">
          <cell r="B909">
            <v>4943258</v>
          </cell>
          <cell r="C909">
            <v>4943259</v>
          </cell>
          <cell r="D909" t="str">
            <v>ISF3.8</v>
          </cell>
          <cell r="E909" t="str">
            <v>旁通水管</v>
          </cell>
          <cell r="F909">
            <v>18.63</v>
          </cell>
        </row>
        <row r="910">
          <cell r="B910">
            <v>5662181</v>
          </cell>
        </row>
        <row r="910">
          <cell r="D910">
            <v>0</v>
          </cell>
          <cell r="E910" t="str">
            <v>旁通阀</v>
          </cell>
          <cell r="F910">
            <v>1096.5357</v>
          </cell>
        </row>
        <row r="911">
          <cell r="B911">
            <v>5680578</v>
          </cell>
        </row>
        <row r="911">
          <cell r="D911">
            <v>0</v>
          </cell>
          <cell r="E911" t="str">
            <v>排气再循环冷却器</v>
          </cell>
          <cell r="F911">
            <v>2673.89</v>
          </cell>
        </row>
        <row r="912">
          <cell r="B912">
            <v>5664531</v>
          </cell>
        </row>
        <row r="912">
          <cell r="D912">
            <v>0</v>
          </cell>
          <cell r="E912" t="str">
            <v>排气弯管</v>
          </cell>
          <cell r="F912">
            <v>182.1924</v>
          </cell>
        </row>
        <row r="913">
          <cell r="B913">
            <v>5529044</v>
          </cell>
        </row>
        <row r="913">
          <cell r="D913" t="str">
            <v>ISF2.8</v>
          </cell>
          <cell r="E913" t="str">
            <v>排气弯管</v>
          </cell>
          <cell r="F913">
            <v>122.31</v>
          </cell>
        </row>
        <row r="914">
          <cell r="B914">
            <v>5290283</v>
          </cell>
        </row>
        <row r="914">
          <cell r="D914" t="str">
            <v>ISF2.8</v>
          </cell>
          <cell r="E914" t="str">
            <v>排气弯管</v>
          </cell>
          <cell r="F914">
            <v>61.7</v>
          </cell>
        </row>
        <row r="915">
          <cell r="B915">
            <v>3683940</v>
          </cell>
        </row>
        <row r="915">
          <cell r="D915">
            <v>0</v>
          </cell>
          <cell r="E915" t="str">
            <v>排气歧管密封垫</v>
          </cell>
          <cell r="F915">
            <v>17.94</v>
          </cell>
        </row>
        <row r="916">
          <cell r="B916">
            <v>5581736</v>
          </cell>
        </row>
        <row r="916">
          <cell r="D916" t="str">
            <v>ISG</v>
          </cell>
          <cell r="E916" t="str">
            <v>排气歧管密封垫</v>
          </cell>
          <cell r="F916">
            <v>68.85</v>
          </cell>
        </row>
        <row r="917">
          <cell r="B917">
            <v>3697750</v>
          </cell>
        </row>
        <row r="917">
          <cell r="D917" t="str">
            <v>ISG</v>
          </cell>
          <cell r="E917" t="str">
            <v>排气歧管密封垫</v>
          </cell>
          <cell r="F917">
            <v>38.98</v>
          </cell>
        </row>
        <row r="918">
          <cell r="B918">
            <v>5261421</v>
          </cell>
        </row>
        <row r="918">
          <cell r="D918" t="str">
            <v>ISF2.8</v>
          </cell>
          <cell r="E918" t="str">
            <v>排气歧管密封垫</v>
          </cell>
          <cell r="F918">
            <v>18.342</v>
          </cell>
        </row>
        <row r="919">
          <cell r="B919">
            <v>5711399</v>
          </cell>
          <cell r="C919" t="str">
            <v>2830444/5259850</v>
          </cell>
          <cell r="D919" t="str">
            <v>ISF3.8</v>
          </cell>
          <cell r="E919" t="str">
            <v>排气歧管密封垫</v>
          </cell>
          <cell r="F919">
            <v>11.92</v>
          </cell>
        </row>
        <row r="920">
          <cell r="B920">
            <v>6407588</v>
          </cell>
          <cell r="C920" t="str">
            <v>5476448/5711159</v>
          </cell>
          <cell r="D920" t="str">
            <v>ISF2.8</v>
          </cell>
          <cell r="E920" t="str">
            <v>排气歧管（国六）</v>
          </cell>
          <cell r="F920">
            <v>204.588</v>
          </cell>
        </row>
        <row r="921">
          <cell r="B921">
            <v>5582060</v>
          </cell>
        </row>
        <row r="921">
          <cell r="D921">
            <v>0</v>
          </cell>
          <cell r="E921" t="str">
            <v>排气歧管</v>
          </cell>
          <cell r="F921">
            <v>1047.17</v>
          </cell>
        </row>
        <row r="922">
          <cell r="B922">
            <v>5582061</v>
          </cell>
        </row>
        <row r="922">
          <cell r="D922">
            <v>0</v>
          </cell>
          <cell r="E922" t="str">
            <v>排气歧管</v>
          </cell>
          <cell r="F922">
            <v>1047.17</v>
          </cell>
        </row>
        <row r="923">
          <cell r="B923">
            <v>5661124</v>
          </cell>
        </row>
        <row r="923">
          <cell r="D923">
            <v>0</v>
          </cell>
          <cell r="E923" t="str">
            <v>排气歧管</v>
          </cell>
          <cell r="F923">
            <v>1123.9992</v>
          </cell>
        </row>
        <row r="924">
          <cell r="B924">
            <v>3697727</v>
          </cell>
        </row>
        <row r="924">
          <cell r="D924" t="str">
            <v>ISG</v>
          </cell>
          <cell r="E924" t="str">
            <v>排气歧管</v>
          </cell>
          <cell r="F924">
            <v>938.27</v>
          </cell>
        </row>
        <row r="925">
          <cell r="B925">
            <v>5614792</v>
          </cell>
        </row>
        <row r="925">
          <cell r="D925">
            <v>0</v>
          </cell>
          <cell r="E925" t="str">
            <v>排气歧管</v>
          </cell>
          <cell r="F925">
            <v>938.27</v>
          </cell>
        </row>
        <row r="926">
          <cell r="B926">
            <v>5614793</v>
          </cell>
        </row>
        <row r="926">
          <cell r="D926">
            <v>0</v>
          </cell>
          <cell r="E926" t="str">
            <v>排气歧管</v>
          </cell>
          <cell r="F926">
            <v>938.27</v>
          </cell>
        </row>
        <row r="927">
          <cell r="B927">
            <v>5614253</v>
          </cell>
        </row>
        <row r="927">
          <cell r="D927" t="str">
            <v>ISG</v>
          </cell>
          <cell r="E927" t="str">
            <v>排气歧管</v>
          </cell>
          <cell r="F927">
            <v>992.2662</v>
          </cell>
        </row>
        <row r="928">
          <cell r="B928">
            <v>3697724</v>
          </cell>
        </row>
        <row r="928">
          <cell r="D928">
            <v>0</v>
          </cell>
          <cell r="E928" t="str">
            <v>排气歧管</v>
          </cell>
          <cell r="F928">
            <v>825.78</v>
          </cell>
        </row>
        <row r="929">
          <cell r="B929">
            <v>5681479</v>
          </cell>
        </row>
        <row r="929">
          <cell r="D929">
            <v>0</v>
          </cell>
          <cell r="E929" t="str">
            <v>排气歧管</v>
          </cell>
          <cell r="F929">
            <v>788.4855</v>
          </cell>
        </row>
        <row r="930">
          <cell r="B930">
            <v>5614699</v>
          </cell>
        </row>
        <row r="930">
          <cell r="D930">
            <v>0</v>
          </cell>
          <cell r="E930" t="str">
            <v>排气歧管</v>
          </cell>
          <cell r="F930">
            <v>489.3858</v>
          </cell>
        </row>
        <row r="931">
          <cell r="B931">
            <v>5681477</v>
          </cell>
        </row>
        <row r="931">
          <cell r="D931">
            <v>0</v>
          </cell>
          <cell r="E931" t="str">
            <v>排气歧管</v>
          </cell>
          <cell r="F931">
            <v>466.0839</v>
          </cell>
        </row>
        <row r="932">
          <cell r="B932">
            <v>5348035</v>
          </cell>
        </row>
        <row r="932">
          <cell r="D932" t="str">
            <v>ISF2.8</v>
          </cell>
          <cell r="E932" t="str">
            <v>排气歧管</v>
          </cell>
          <cell r="F932">
            <v>342.108</v>
          </cell>
        </row>
        <row r="933">
          <cell r="B933">
            <v>5341782</v>
          </cell>
        </row>
        <row r="933">
          <cell r="D933" t="str">
            <v>ISF3.8</v>
          </cell>
          <cell r="E933" t="str">
            <v>排气歧管</v>
          </cell>
          <cell r="F933">
            <v>315.0423</v>
          </cell>
        </row>
        <row r="934">
          <cell r="B934">
            <v>5295223</v>
          </cell>
        </row>
        <row r="934">
          <cell r="D934">
            <v>0</v>
          </cell>
          <cell r="E934" t="str">
            <v>排气歧管</v>
          </cell>
          <cell r="F934">
            <v>285.25</v>
          </cell>
        </row>
        <row r="935">
          <cell r="B935">
            <v>5620847</v>
          </cell>
        </row>
        <row r="935">
          <cell r="D935" t="str">
            <v>ISF3.8</v>
          </cell>
          <cell r="E935" t="str">
            <v>排气歧管</v>
          </cell>
          <cell r="F935">
            <v>279.24</v>
          </cell>
        </row>
        <row r="936">
          <cell r="B936">
            <v>5311135</v>
          </cell>
        </row>
        <row r="936">
          <cell r="D936" t="str">
            <v>ISF2.8</v>
          </cell>
          <cell r="E936" t="str">
            <v>排气歧管</v>
          </cell>
          <cell r="F936">
            <v>272.3094</v>
          </cell>
        </row>
        <row r="937">
          <cell r="B937">
            <v>3948477</v>
          </cell>
        </row>
        <row r="937">
          <cell r="D937" t="str">
            <v>ISF3.8</v>
          </cell>
          <cell r="E937" t="str">
            <v>排气歧管</v>
          </cell>
          <cell r="F937">
            <v>251.1036</v>
          </cell>
        </row>
        <row r="938">
          <cell r="B938">
            <v>5263382</v>
          </cell>
        </row>
        <row r="938">
          <cell r="D938" t="str">
            <v>ISF3.8</v>
          </cell>
          <cell r="E938" t="str">
            <v>排气歧管</v>
          </cell>
          <cell r="F938">
            <v>250.767</v>
          </cell>
        </row>
        <row r="939">
          <cell r="B939">
            <v>5304560</v>
          </cell>
        </row>
        <row r="939">
          <cell r="D939" t="str">
            <v>ISF3.8</v>
          </cell>
          <cell r="E939" t="str">
            <v>排气歧管</v>
          </cell>
          <cell r="F939">
            <v>243.6831</v>
          </cell>
        </row>
        <row r="940">
          <cell r="B940">
            <v>5286927</v>
          </cell>
        </row>
        <row r="940">
          <cell r="D940" t="str">
            <v>ISF2.8</v>
          </cell>
          <cell r="E940" t="str">
            <v>排气歧管</v>
          </cell>
          <cell r="F940">
            <v>238.59</v>
          </cell>
        </row>
        <row r="941">
          <cell r="B941">
            <v>5343841</v>
          </cell>
        </row>
        <row r="941">
          <cell r="D941" t="str">
            <v>ISF2.8</v>
          </cell>
          <cell r="E941" t="str">
            <v>排气歧管</v>
          </cell>
          <cell r="F941">
            <v>244.4787</v>
          </cell>
        </row>
        <row r="942">
          <cell r="B942">
            <v>4988653</v>
          </cell>
        </row>
        <row r="942">
          <cell r="D942" t="str">
            <v>ISF2.8</v>
          </cell>
          <cell r="E942" t="str">
            <v>排气歧管</v>
          </cell>
          <cell r="F942">
            <v>185.32</v>
          </cell>
        </row>
        <row r="943">
          <cell r="B943">
            <v>3696922</v>
          </cell>
        </row>
        <row r="943">
          <cell r="D943" t="str">
            <v>ISG</v>
          </cell>
          <cell r="E943" t="str">
            <v>排气门座圈</v>
          </cell>
          <cell r="F943">
            <v>39.4587</v>
          </cell>
        </row>
        <row r="944">
          <cell r="B944">
            <v>3695789</v>
          </cell>
        </row>
        <row r="944">
          <cell r="D944">
            <v>0</v>
          </cell>
          <cell r="E944" t="str">
            <v>排气门油封</v>
          </cell>
          <cell r="F944">
            <v>9.52</v>
          </cell>
        </row>
        <row r="945">
          <cell r="B945">
            <v>3696143</v>
          </cell>
        </row>
        <row r="945">
          <cell r="D945">
            <v>0</v>
          </cell>
          <cell r="E945" t="str">
            <v>排气门弹簧座</v>
          </cell>
          <cell r="F945">
            <v>3.98</v>
          </cell>
        </row>
        <row r="946">
          <cell r="B946">
            <v>3696142</v>
          </cell>
        </row>
        <row r="946">
          <cell r="D946">
            <v>0</v>
          </cell>
          <cell r="E946" t="str">
            <v>排气门弹簧</v>
          </cell>
          <cell r="F946">
            <v>15.88</v>
          </cell>
        </row>
        <row r="947">
          <cell r="B947">
            <v>5711634</v>
          </cell>
        </row>
        <row r="947">
          <cell r="D947">
            <v>0</v>
          </cell>
          <cell r="E947" t="str">
            <v>排气门</v>
          </cell>
          <cell r="F947">
            <v>99.94</v>
          </cell>
        </row>
        <row r="948">
          <cell r="B948">
            <v>5582315</v>
          </cell>
        </row>
        <row r="948">
          <cell r="D948" t="str">
            <v>ISG</v>
          </cell>
          <cell r="E948" t="str">
            <v>排气门</v>
          </cell>
          <cell r="F948">
            <v>86.3073</v>
          </cell>
        </row>
        <row r="949">
          <cell r="B949">
            <v>5712829</v>
          </cell>
          <cell r="C949" t="str">
            <v>5308265/5256949</v>
          </cell>
          <cell r="D949" t="str">
            <v>ISF2.8</v>
          </cell>
          <cell r="E949" t="str">
            <v>排气门</v>
          </cell>
          <cell r="F949">
            <v>18.92</v>
          </cell>
        </row>
        <row r="950">
          <cell r="B950">
            <v>3940734</v>
          </cell>
        </row>
        <row r="950">
          <cell r="D950" t="str">
            <v>ISF3.8</v>
          </cell>
          <cell r="E950" t="str">
            <v>排气门</v>
          </cell>
          <cell r="F950">
            <v>18.66</v>
          </cell>
        </row>
        <row r="951">
          <cell r="B951">
            <v>5558056</v>
          </cell>
        </row>
        <row r="951">
          <cell r="D951">
            <v>0</v>
          </cell>
          <cell r="E951" t="str">
            <v>排气连接件密封垫</v>
          </cell>
          <cell r="F951">
            <v>95.41</v>
          </cell>
        </row>
        <row r="952">
          <cell r="B952">
            <v>5547650</v>
          </cell>
        </row>
        <row r="952">
          <cell r="D952">
            <v>0</v>
          </cell>
          <cell r="E952" t="str">
            <v>排气连接件密封垫</v>
          </cell>
          <cell r="F952">
            <v>72.72</v>
          </cell>
        </row>
        <row r="953">
          <cell r="B953">
            <v>5271392</v>
          </cell>
        </row>
        <row r="953">
          <cell r="D953">
            <v>0</v>
          </cell>
          <cell r="E953" t="str">
            <v>排气连接件密封垫</v>
          </cell>
          <cell r="F953">
            <v>39.4</v>
          </cell>
        </row>
        <row r="954">
          <cell r="B954">
            <v>3697729</v>
          </cell>
        </row>
        <row r="954">
          <cell r="D954">
            <v>0</v>
          </cell>
          <cell r="E954" t="str">
            <v>排气连接件密封垫</v>
          </cell>
          <cell r="F954">
            <v>23.08</v>
          </cell>
        </row>
        <row r="955">
          <cell r="B955">
            <v>4896254</v>
          </cell>
        </row>
        <row r="955">
          <cell r="D955">
            <v>0</v>
          </cell>
          <cell r="E955" t="str">
            <v>排气连接件密封垫</v>
          </cell>
          <cell r="F955">
            <v>22.0932</v>
          </cell>
        </row>
        <row r="956">
          <cell r="B956">
            <v>5255538</v>
          </cell>
        </row>
        <row r="956">
          <cell r="D956">
            <v>0</v>
          </cell>
          <cell r="E956" t="str">
            <v>排气连接件密封垫</v>
          </cell>
          <cell r="F956">
            <v>15.47</v>
          </cell>
        </row>
        <row r="957">
          <cell r="B957">
            <v>5260606</v>
          </cell>
        </row>
        <row r="957">
          <cell r="D957" t="str">
            <v>ISF2.8</v>
          </cell>
          <cell r="E957" t="str">
            <v>排气连接件密封垫</v>
          </cell>
          <cell r="F957">
            <v>16.5</v>
          </cell>
        </row>
        <row r="958">
          <cell r="B958">
            <v>5348889</v>
          </cell>
        </row>
        <row r="958">
          <cell r="D958">
            <v>0</v>
          </cell>
          <cell r="E958" t="str">
            <v>排气连接件密封垫</v>
          </cell>
          <cell r="F958">
            <v>9.83</v>
          </cell>
        </row>
        <row r="959">
          <cell r="B959">
            <v>5370748</v>
          </cell>
        </row>
        <row r="959">
          <cell r="D959" t="str">
            <v>ISF2.8</v>
          </cell>
          <cell r="E959" t="str">
            <v>排气连接件密封垫</v>
          </cell>
          <cell r="F959">
            <v>9.53</v>
          </cell>
        </row>
        <row r="960">
          <cell r="B960">
            <v>4995186</v>
          </cell>
        </row>
        <row r="960">
          <cell r="D960" t="str">
            <v>ISF3.8</v>
          </cell>
          <cell r="E960" t="str">
            <v>排气连接件密封垫</v>
          </cell>
          <cell r="F960">
            <v>6.15</v>
          </cell>
        </row>
        <row r="961">
          <cell r="B961">
            <v>5529323</v>
          </cell>
        </row>
        <row r="961">
          <cell r="D961">
            <v>0</v>
          </cell>
          <cell r="E961" t="str">
            <v>排气连接件</v>
          </cell>
          <cell r="F961">
            <v>602.57</v>
          </cell>
        </row>
        <row r="962">
          <cell r="B962">
            <v>5536538</v>
          </cell>
        </row>
        <row r="962">
          <cell r="D962">
            <v>0</v>
          </cell>
          <cell r="E962" t="str">
            <v>排气连接件</v>
          </cell>
          <cell r="F962">
            <v>387.43</v>
          </cell>
        </row>
        <row r="963">
          <cell r="B963">
            <v>5364769</v>
          </cell>
        </row>
        <row r="963">
          <cell r="D963">
            <v>0</v>
          </cell>
          <cell r="E963" t="str">
            <v>排气连接件</v>
          </cell>
          <cell r="F963">
            <v>253.92</v>
          </cell>
        </row>
        <row r="964">
          <cell r="B964">
            <v>5303086</v>
          </cell>
        </row>
        <row r="964">
          <cell r="D964">
            <v>0</v>
          </cell>
          <cell r="E964" t="str">
            <v>排气连接件</v>
          </cell>
          <cell r="F964">
            <v>320.48</v>
          </cell>
        </row>
        <row r="965">
          <cell r="B965">
            <v>5529047</v>
          </cell>
        </row>
        <row r="965">
          <cell r="D965">
            <v>0</v>
          </cell>
          <cell r="E965" t="str">
            <v>排气连接件</v>
          </cell>
          <cell r="F965">
            <v>306.74</v>
          </cell>
        </row>
        <row r="966">
          <cell r="B966">
            <v>5346138</v>
          </cell>
        </row>
        <row r="966">
          <cell r="D966">
            <v>0</v>
          </cell>
          <cell r="E966" t="str">
            <v>排气连接件</v>
          </cell>
          <cell r="F966">
            <v>259.44</v>
          </cell>
        </row>
        <row r="967">
          <cell r="B967">
            <v>5301979</v>
          </cell>
        </row>
        <row r="967">
          <cell r="D967">
            <v>0</v>
          </cell>
          <cell r="E967" t="str">
            <v>排气连接件</v>
          </cell>
          <cell r="F967">
            <v>235.97</v>
          </cell>
        </row>
        <row r="968">
          <cell r="B968">
            <v>5568522</v>
          </cell>
        </row>
        <row r="968">
          <cell r="D968">
            <v>0</v>
          </cell>
          <cell r="E968" t="str">
            <v>排气连接件</v>
          </cell>
          <cell r="F968">
            <v>207.09</v>
          </cell>
        </row>
        <row r="969">
          <cell r="B969">
            <v>5584977</v>
          </cell>
        </row>
        <row r="969">
          <cell r="D969">
            <v>0</v>
          </cell>
          <cell r="E969" t="str">
            <v>排气连接件</v>
          </cell>
          <cell r="F969">
            <v>205.29</v>
          </cell>
        </row>
        <row r="970">
          <cell r="B970">
            <v>5365767</v>
          </cell>
        </row>
        <row r="970">
          <cell r="D970">
            <v>0</v>
          </cell>
          <cell r="E970" t="str">
            <v>排气连接件</v>
          </cell>
          <cell r="F970">
            <v>176.6</v>
          </cell>
        </row>
        <row r="971">
          <cell r="B971">
            <v>5568525</v>
          </cell>
        </row>
        <row r="971">
          <cell r="D971">
            <v>0</v>
          </cell>
          <cell r="E971" t="str">
            <v>排气连接件</v>
          </cell>
          <cell r="F971">
            <v>175.45</v>
          </cell>
        </row>
        <row r="972">
          <cell r="B972">
            <v>5397704</v>
          </cell>
        </row>
        <row r="972">
          <cell r="D972">
            <v>0</v>
          </cell>
          <cell r="E972" t="str">
            <v>排气连接件</v>
          </cell>
          <cell r="F972">
            <v>179.8056</v>
          </cell>
        </row>
        <row r="973">
          <cell r="B973">
            <v>5567169</v>
          </cell>
        </row>
        <row r="973">
          <cell r="D973">
            <v>0</v>
          </cell>
          <cell r="E973" t="str">
            <v>排气连接件</v>
          </cell>
          <cell r="F973">
            <v>166.61</v>
          </cell>
        </row>
        <row r="974">
          <cell r="B974">
            <v>5564238</v>
          </cell>
        </row>
        <row r="974">
          <cell r="D974">
            <v>0</v>
          </cell>
          <cell r="E974" t="str">
            <v>排气连接件</v>
          </cell>
          <cell r="F974">
            <v>162.92</v>
          </cell>
        </row>
        <row r="975">
          <cell r="B975">
            <v>5362022</v>
          </cell>
        </row>
        <row r="975">
          <cell r="D975">
            <v>0</v>
          </cell>
          <cell r="E975" t="str">
            <v>排气连接件</v>
          </cell>
          <cell r="F975">
            <v>165.1635</v>
          </cell>
        </row>
        <row r="976">
          <cell r="B976">
            <v>5371027</v>
          </cell>
        </row>
        <row r="976">
          <cell r="D976">
            <v>0</v>
          </cell>
          <cell r="E976" t="str">
            <v>排气连接件</v>
          </cell>
          <cell r="F976">
            <v>160.19</v>
          </cell>
        </row>
        <row r="977">
          <cell r="B977">
            <v>5664532</v>
          </cell>
          <cell r="C977">
            <v>5568785</v>
          </cell>
          <cell r="D977">
            <v>0</v>
          </cell>
          <cell r="E977" t="str">
            <v>排气连接件</v>
          </cell>
          <cell r="F977">
            <v>161.0631</v>
          </cell>
        </row>
        <row r="978">
          <cell r="B978">
            <v>5259411</v>
          </cell>
        </row>
        <row r="978">
          <cell r="D978">
            <v>0</v>
          </cell>
          <cell r="E978" t="str">
            <v>排气连接件</v>
          </cell>
          <cell r="F978">
            <v>157.1616</v>
          </cell>
        </row>
        <row r="979">
          <cell r="B979">
            <v>5568680</v>
          </cell>
        </row>
        <row r="979">
          <cell r="D979">
            <v>0</v>
          </cell>
          <cell r="E979" t="str">
            <v>排气连接件</v>
          </cell>
          <cell r="F979">
            <v>155.3868</v>
          </cell>
        </row>
        <row r="980">
          <cell r="B980">
            <v>5684672</v>
          </cell>
        </row>
        <row r="980">
          <cell r="D980">
            <v>0</v>
          </cell>
          <cell r="E980" t="str">
            <v>排气连接件</v>
          </cell>
          <cell r="F980">
            <v>146.85</v>
          </cell>
        </row>
        <row r="981">
          <cell r="B981">
            <v>6316782</v>
          </cell>
        </row>
        <row r="981">
          <cell r="D981">
            <v>0</v>
          </cell>
          <cell r="E981" t="str">
            <v>排气连接件</v>
          </cell>
          <cell r="F981">
            <v>138.75</v>
          </cell>
        </row>
        <row r="982">
          <cell r="B982">
            <v>5271536</v>
          </cell>
        </row>
        <row r="982">
          <cell r="D982" t="str">
            <v>ISF3.8</v>
          </cell>
          <cell r="E982" t="str">
            <v>排气连接件</v>
          </cell>
          <cell r="F982">
            <v>123.92</v>
          </cell>
        </row>
        <row r="983">
          <cell r="B983">
            <v>5308012</v>
          </cell>
        </row>
        <row r="983">
          <cell r="D983" t="str">
            <v>ISF2.8</v>
          </cell>
          <cell r="E983" t="str">
            <v>排气连接件</v>
          </cell>
          <cell r="F983">
            <v>125.9955</v>
          </cell>
        </row>
        <row r="984">
          <cell r="B984">
            <v>5687562</v>
          </cell>
          <cell r="C984">
            <v>5370527</v>
          </cell>
          <cell r="D984" t="e">
            <v>#N/A</v>
          </cell>
          <cell r="E984" t="str">
            <v>排气连接件</v>
          </cell>
          <cell r="F984">
            <v>122.76</v>
          </cell>
        </row>
        <row r="985">
          <cell r="B985">
            <v>5621618</v>
          </cell>
        </row>
        <row r="985">
          <cell r="D985">
            <v>0</v>
          </cell>
          <cell r="E985" t="str">
            <v>排气连接件</v>
          </cell>
          <cell r="F985">
            <v>118.5</v>
          </cell>
        </row>
        <row r="986">
          <cell r="B986">
            <v>5259791</v>
          </cell>
        </row>
        <row r="986">
          <cell r="D986">
            <v>0</v>
          </cell>
          <cell r="E986" t="str">
            <v>排气连接件</v>
          </cell>
          <cell r="F986">
            <v>111.0321</v>
          </cell>
        </row>
        <row r="987">
          <cell r="B987">
            <v>5268101</v>
          </cell>
        </row>
        <row r="987">
          <cell r="D987">
            <v>0</v>
          </cell>
          <cell r="E987" t="str">
            <v>排气连接件</v>
          </cell>
          <cell r="F987">
            <v>97</v>
          </cell>
        </row>
        <row r="988">
          <cell r="B988">
            <v>5300980</v>
          </cell>
        </row>
        <row r="988">
          <cell r="D988">
            <v>0</v>
          </cell>
          <cell r="E988" t="str">
            <v>排气连接管支架</v>
          </cell>
          <cell r="F988">
            <v>90.2</v>
          </cell>
        </row>
        <row r="989">
          <cell r="B989">
            <v>5618882</v>
          </cell>
        </row>
        <row r="989">
          <cell r="D989">
            <v>0</v>
          </cell>
          <cell r="E989" t="str">
            <v>排气连接管支架</v>
          </cell>
          <cell r="F989">
            <v>48.275</v>
          </cell>
        </row>
        <row r="990">
          <cell r="B990">
            <v>5362025</v>
          </cell>
        </row>
        <row r="990">
          <cell r="D990">
            <v>0</v>
          </cell>
          <cell r="E990" t="str">
            <v>排气连接管支架</v>
          </cell>
          <cell r="F990">
            <v>31.57</v>
          </cell>
        </row>
        <row r="991">
          <cell r="B991">
            <v>5339492</v>
          </cell>
        </row>
        <row r="991">
          <cell r="D991" t="str">
            <v>ISF3.8</v>
          </cell>
          <cell r="E991" t="str">
            <v>排气连接管支架</v>
          </cell>
          <cell r="F991">
            <v>22.42</v>
          </cell>
        </row>
        <row r="992">
          <cell r="B992">
            <v>5591069</v>
          </cell>
        </row>
        <row r="992">
          <cell r="D992">
            <v>0</v>
          </cell>
          <cell r="E992" t="str">
            <v>排气连接管支架</v>
          </cell>
          <cell r="F992">
            <v>20.3</v>
          </cell>
        </row>
        <row r="993">
          <cell r="B993">
            <v>5261717</v>
          </cell>
        </row>
        <row r="993">
          <cell r="D993">
            <v>0</v>
          </cell>
          <cell r="E993" t="str">
            <v>排气连接管支架</v>
          </cell>
          <cell r="F993">
            <v>18.738</v>
          </cell>
        </row>
        <row r="994">
          <cell r="B994">
            <v>5688647</v>
          </cell>
          <cell r="C994">
            <v>5566774</v>
          </cell>
          <cell r="D994" t="str">
            <v>ISF2.8</v>
          </cell>
          <cell r="E994" t="str">
            <v>排气连接管支架</v>
          </cell>
          <cell r="F994">
            <v>19.32</v>
          </cell>
        </row>
        <row r="995">
          <cell r="B995">
            <v>5304293</v>
          </cell>
        </row>
        <row r="995">
          <cell r="D995" t="str">
            <v>ISF3.8</v>
          </cell>
          <cell r="E995" t="str">
            <v>排气连接管支架</v>
          </cell>
          <cell r="F995">
            <v>17.9</v>
          </cell>
        </row>
        <row r="996">
          <cell r="B996">
            <v>5567115</v>
          </cell>
        </row>
        <row r="996">
          <cell r="D996">
            <v>0</v>
          </cell>
          <cell r="E996" t="str">
            <v>排气连接管支架</v>
          </cell>
          <cell r="F996">
            <v>16.18</v>
          </cell>
        </row>
        <row r="997">
          <cell r="B997">
            <v>5523439</v>
          </cell>
        </row>
        <row r="997">
          <cell r="D997">
            <v>0</v>
          </cell>
          <cell r="E997" t="str">
            <v>排气连接管支架</v>
          </cell>
          <cell r="F997">
            <v>12.92</v>
          </cell>
        </row>
        <row r="998">
          <cell r="B998">
            <v>5346140</v>
          </cell>
        </row>
        <row r="998">
          <cell r="D998">
            <v>0</v>
          </cell>
          <cell r="E998" t="str">
            <v>排气连接管支架</v>
          </cell>
          <cell r="F998">
            <v>12.31</v>
          </cell>
        </row>
        <row r="999">
          <cell r="B999">
            <v>5688645</v>
          </cell>
          <cell r="C999">
            <v>5590482</v>
          </cell>
          <cell r="D999">
            <v>0</v>
          </cell>
          <cell r="E999" t="str">
            <v>排气连接管</v>
          </cell>
          <cell r="F999">
            <v>175.7358</v>
          </cell>
        </row>
        <row r="1000">
          <cell r="B1000">
            <v>5293417</v>
          </cell>
        </row>
        <row r="1000">
          <cell r="D1000">
            <v>0</v>
          </cell>
          <cell r="E1000" t="str">
            <v>排气冷却器出水管</v>
          </cell>
          <cell r="F1000">
            <v>48.078</v>
          </cell>
        </row>
        <row r="1001">
          <cell r="B1001">
            <v>5684656</v>
          </cell>
        </row>
        <row r="1001">
          <cell r="D1001">
            <v>0</v>
          </cell>
          <cell r="E1001" t="str">
            <v>排气口连接</v>
          </cell>
          <cell r="F1001">
            <v>234.83</v>
          </cell>
        </row>
        <row r="1002">
          <cell r="B1002">
            <v>5669138</v>
          </cell>
        </row>
        <row r="1002">
          <cell r="D1002">
            <v>0</v>
          </cell>
          <cell r="E1002" t="str">
            <v>排气口连接</v>
          </cell>
          <cell r="F1002">
            <v>173.34</v>
          </cell>
        </row>
        <row r="1003">
          <cell r="B1003">
            <v>5684510</v>
          </cell>
        </row>
        <row r="1003">
          <cell r="D1003">
            <v>0</v>
          </cell>
          <cell r="E1003" t="str">
            <v>排气口管</v>
          </cell>
          <cell r="F1003">
            <v>122.01</v>
          </cell>
        </row>
        <row r="1004">
          <cell r="B1004">
            <v>5662225</v>
          </cell>
        </row>
        <row r="1004">
          <cell r="D1004">
            <v>0</v>
          </cell>
          <cell r="E1004" t="str">
            <v>排气口管</v>
          </cell>
          <cell r="F1004">
            <v>62.99</v>
          </cell>
        </row>
        <row r="1005">
          <cell r="B1005">
            <v>5667524</v>
          </cell>
        </row>
        <row r="1005">
          <cell r="D1005">
            <v>0</v>
          </cell>
          <cell r="E1005" t="str">
            <v>排气节流阀</v>
          </cell>
          <cell r="F1005">
            <v>9578.9934</v>
          </cell>
        </row>
        <row r="1006">
          <cell r="B1006">
            <v>5580117</v>
          </cell>
        </row>
        <row r="1006">
          <cell r="D1006">
            <v>0</v>
          </cell>
          <cell r="E1006" t="str">
            <v>排气节流阀</v>
          </cell>
          <cell r="F1006">
            <v>4089.31</v>
          </cell>
        </row>
        <row r="1007">
          <cell r="B1007">
            <v>5566641</v>
          </cell>
        </row>
        <row r="1007">
          <cell r="D1007">
            <v>0</v>
          </cell>
          <cell r="E1007" t="str">
            <v>排气节流阀</v>
          </cell>
          <cell r="F1007">
            <v>2296.4535</v>
          </cell>
        </row>
        <row r="1008">
          <cell r="B1008">
            <v>5528464</v>
          </cell>
        </row>
        <row r="1008">
          <cell r="D1008" t="str">
            <v>ISF2.8</v>
          </cell>
          <cell r="E1008" t="str">
            <v>排气节流阀</v>
          </cell>
          <cell r="F1008">
            <v>2132.67</v>
          </cell>
        </row>
        <row r="1009">
          <cell r="B1009">
            <v>5609446</v>
          </cell>
          <cell r="C1009">
            <v>5527574</v>
          </cell>
          <cell r="D1009" t="str">
            <v>ISF2.8/3.8</v>
          </cell>
          <cell r="E1009" t="str">
            <v>排气节流阀</v>
          </cell>
          <cell r="F1009">
            <v>1700.0748</v>
          </cell>
        </row>
        <row r="1010">
          <cell r="B1010">
            <v>5711357</v>
          </cell>
        </row>
        <row r="1010">
          <cell r="D1010">
            <v>0</v>
          </cell>
          <cell r="E1010" t="str">
            <v>排气出气管</v>
          </cell>
          <cell r="F1010">
            <v>300.76</v>
          </cell>
        </row>
        <row r="1011">
          <cell r="B1011">
            <v>5396410</v>
          </cell>
        </row>
        <row r="1011">
          <cell r="D1011">
            <v>0</v>
          </cell>
          <cell r="E1011" t="str">
            <v>排气出口连接</v>
          </cell>
          <cell r="F1011">
            <v>162.32</v>
          </cell>
        </row>
        <row r="1012">
          <cell r="B1012">
            <v>5558348</v>
          </cell>
        </row>
        <row r="1012">
          <cell r="D1012">
            <v>0</v>
          </cell>
          <cell r="E1012" t="str">
            <v>排气出口接头</v>
          </cell>
          <cell r="F1012">
            <v>374.96</v>
          </cell>
        </row>
        <row r="1013">
          <cell r="B1013">
            <v>3957770</v>
          </cell>
        </row>
        <row r="1013">
          <cell r="D1013">
            <v>0</v>
          </cell>
          <cell r="E1013" t="str">
            <v>琶形接头螺栓</v>
          </cell>
          <cell r="F1013">
            <v>38.1735</v>
          </cell>
        </row>
        <row r="1014">
          <cell r="B1014">
            <v>3957942</v>
          </cell>
        </row>
        <row r="1014">
          <cell r="D1014">
            <v>0</v>
          </cell>
          <cell r="E1014" t="str">
            <v>琶形接头螺栓</v>
          </cell>
          <cell r="F1014">
            <v>18.32</v>
          </cell>
        </row>
        <row r="1015">
          <cell r="B1015">
            <v>5669151</v>
          </cell>
        </row>
        <row r="1015">
          <cell r="D1015">
            <v>0</v>
          </cell>
          <cell r="E1015" t="str">
            <v>琶形接头螺栓</v>
          </cell>
          <cell r="F1015">
            <v>15.32</v>
          </cell>
        </row>
        <row r="1016">
          <cell r="B1016">
            <v>5663769</v>
          </cell>
        </row>
        <row r="1016">
          <cell r="D1016">
            <v>0</v>
          </cell>
          <cell r="E1016" t="str">
            <v>琶形接头螺栓</v>
          </cell>
          <cell r="F1016">
            <v>13.2</v>
          </cell>
        </row>
        <row r="1017">
          <cell r="B1017">
            <v>5377719</v>
          </cell>
        </row>
        <row r="1017">
          <cell r="D1017">
            <v>0</v>
          </cell>
          <cell r="E1017" t="str">
            <v>琶形接头螺栓</v>
          </cell>
          <cell r="F1017">
            <v>12.36</v>
          </cell>
        </row>
        <row r="1018">
          <cell r="B1018">
            <v>5558684</v>
          </cell>
        </row>
        <row r="1018">
          <cell r="D1018">
            <v>0</v>
          </cell>
          <cell r="E1018" t="str">
            <v>琶形接头螺栓</v>
          </cell>
          <cell r="F1018">
            <v>10.88</v>
          </cell>
        </row>
        <row r="1019">
          <cell r="B1019">
            <v>5283670</v>
          </cell>
        </row>
        <row r="1019">
          <cell r="D1019">
            <v>0</v>
          </cell>
          <cell r="E1019" t="str">
            <v>琶形接头螺栓</v>
          </cell>
          <cell r="F1019">
            <v>5.97</v>
          </cell>
        </row>
        <row r="1020">
          <cell r="B1020">
            <v>5337210</v>
          </cell>
        </row>
        <row r="1020">
          <cell r="D1020" t="str">
            <v>ISF3.8</v>
          </cell>
          <cell r="E1020" t="str">
            <v>琶形接头螺栓</v>
          </cell>
          <cell r="F1020">
            <v>5.93</v>
          </cell>
        </row>
        <row r="1021">
          <cell r="B1021">
            <v>3070393</v>
          </cell>
        </row>
        <row r="1021">
          <cell r="D1021">
            <v>0</v>
          </cell>
          <cell r="E1021" t="str">
            <v>琶形接头螺栓</v>
          </cell>
          <cell r="F1021">
            <v>8.48</v>
          </cell>
        </row>
        <row r="1022">
          <cell r="B1022">
            <v>3694322</v>
          </cell>
        </row>
        <row r="1022">
          <cell r="D1022">
            <v>0</v>
          </cell>
          <cell r="E1022" t="str">
            <v>琶形接头螺栓</v>
          </cell>
          <cell r="F1022">
            <v>6.26</v>
          </cell>
        </row>
        <row r="1023">
          <cell r="B1023">
            <v>5290872</v>
          </cell>
        </row>
        <row r="1023">
          <cell r="D1023" t="str">
            <v>ISF2.8</v>
          </cell>
          <cell r="E1023" t="str">
            <v>琶形接头螺栓</v>
          </cell>
          <cell r="F1023">
            <v>3.79</v>
          </cell>
        </row>
        <row r="1024">
          <cell r="B1024">
            <v>3903035</v>
          </cell>
        </row>
        <row r="1024">
          <cell r="D1024">
            <v>0</v>
          </cell>
          <cell r="E1024" t="str">
            <v>琶形接头螺栓</v>
          </cell>
          <cell r="F1024">
            <v>3.34</v>
          </cell>
        </row>
        <row r="1025">
          <cell r="B1025">
            <v>3964817</v>
          </cell>
        </row>
        <row r="1025">
          <cell r="D1025" t="str">
            <v>ISF3.8</v>
          </cell>
          <cell r="E1025" t="str">
            <v>琶形接头螺栓</v>
          </cell>
          <cell r="F1025">
            <v>2.25</v>
          </cell>
        </row>
        <row r="1026">
          <cell r="B1026">
            <v>3964115</v>
          </cell>
        </row>
        <row r="1026">
          <cell r="D1026" t="str">
            <v>ISF3.8</v>
          </cell>
          <cell r="E1026" t="str">
            <v>琶形接头</v>
          </cell>
          <cell r="F1026">
            <v>8.76</v>
          </cell>
        </row>
        <row r="1027">
          <cell r="B1027">
            <v>3697975</v>
          </cell>
        </row>
        <row r="1027">
          <cell r="D1027">
            <v>0</v>
          </cell>
          <cell r="E1027" t="str">
            <v>扭振减振器</v>
          </cell>
          <cell r="F1027">
            <v>817.1118</v>
          </cell>
        </row>
        <row r="1028">
          <cell r="B1028">
            <v>3698300</v>
          </cell>
        </row>
        <row r="1028">
          <cell r="D1028">
            <v>0</v>
          </cell>
          <cell r="E1028" t="str">
            <v>扭振减振器</v>
          </cell>
          <cell r="F1028">
            <v>787.7358</v>
          </cell>
        </row>
        <row r="1029">
          <cell r="B1029">
            <v>3697976</v>
          </cell>
        </row>
        <row r="1029">
          <cell r="D1029">
            <v>0</v>
          </cell>
          <cell r="E1029" t="str">
            <v>扭振减振器</v>
          </cell>
          <cell r="F1029">
            <v>778.2039</v>
          </cell>
        </row>
        <row r="1030">
          <cell r="B1030">
            <v>5305218</v>
          </cell>
        </row>
        <row r="1030">
          <cell r="D1030" t="str">
            <v>ISF2.8</v>
          </cell>
          <cell r="E1030" t="str">
            <v>扭振减振器</v>
          </cell>
          <cell r="F1030">
            <v>259.2279</v>
          </cell>
        </row>
        <row r="1031">
          <cell r="B1031">
            <v>3687036</v>
          </cell>
        </row>
        <row r="1031">
          <cell r="D1031">
            <v>0</v>
          </cell>
          <cell r="E1031" t="str">
            <v>尼龙扎带</v>
          </cell>
          <cell r="F1031">
            <v>22.21</v>
          </cell>
        </row>
        <row r="1032">
          <cell r="B1032">
            <v>3062329</v>
          </cell>
        </row>
        <row r="1032">
          <cell r="D1032">
            <v>0</v>
          </cell>
          <cell r="E1032" t="str">
            <v>尼龙扎带</v>
          </cell>
          <cell r="F1032">
            <v>2.8</v>
          </cell>
        </row>
        <row r="1033">
          <cell r="B1033">
            <v>3696709</v>
          </cell>
        </row>
        <row r="1033">
          <cell r="D1033">
            <v>0</v>
          </cell>
          <cell r="E1033" t="str">
            <v>尼龙扎带</v>
          </cell>
          <cell r="F1033">
            <v>1.2</v>
          </cell>
        </row>
        <row r="1034">
          <cell r="B1034">
            <v>5521850</v>
          </cell>
        </row>
        <row r="1034">
          <cell r="D1034" t="str">
            <v>ISF2.8</v>
          </cell>
          <cell r="E1034" t="str">
            <v>内驱动螺母</v>
          </cell>
          <cell r="F1034">
            <v>12.88</v>
          </cell>
        </row>
        <row r="1035">
          <cell r="B1035">
            <v>5537343</v>
          </cell>
        </row>
        <row r="1035">
          <cell r="D1035">
            <v>0</v>
          </cell>
          <cell r="E1035" t="str">
            <v>内螺纹接头</v>
          </cell>
          <cell r="F1035">
            <v>17.87</v>
          </cell>
        </row>
        <row r="1036">
          <cell r="B1036">
            <v>3697188</v>
          </cell>
        </row>
        <row r="1036">
          <cell r="D1036">
            <v>0</v>
          </cell>
          <cell r="E1036" t="str">
            <v>内螺纹接头</v>
          </cell>
          <cell r="F1036">
            <v>15.95</v>
          </cell>
        </row>
        <row r="1037">
          <cell r="B1037">
            <v>5283369</v>
          </cell>
        </row>
        <row r="1037">
          <cell r="D1037">
            <v>0</v>
          </cell>
          <cell r="E1037" t="str">
            <v>内螺纹接头</v>
          </cell>
          <cell r="F1037">
            <v>12.92</v>
          </cell>
        </row>
        <row r="1038">
          <cell r="B1038">
            <v>3697187</v>
          </cell>
        </row>
        <row r="1038">
          <cell r="D1038">
            <v>0</v>
          </cell>
          <cell r="E1038" t="str">
            <v>内螺纹接头</v>
          </cell>
          <cell r="F1038">
            <v>10.6</v>
          </cell>
        </row>
        <row r="1039">
          <cell r="B1039">
            <v>5377758</v>
          </cell>
        </row>
        <row r="1039">
          <cell r="D1039">
            <v>0</v>
          </cell>
          <cell r="E1039" t="str">
            <v>内螺纹接头</v>
          </cell>
          <cell r="F1039">
            <v>8.03</v>
          </cell>
        </row>
        <row r="1040">
          <cell r="B1040">
            <v>5588543</v>
          </cell>
        </row>
        <row r="1040">
          <cell r="D1040">
            <v>0</v>
          </cell>
          <cell r="E1040" t="str">
            <v>内螺纹接头</v>
          </cell>
          <cell r="F1040">
            <v>7.95</v>
          </cell>
        </row>
        <row r="1041">
          <cell r="B1041">
            <v>5377770</v>
          </cell>
        </row>
        <row r="1041">
          <cell r="D1041">
            <v>0</v>
          </cell>
          <cell r="E1041" t="str">
            <v>内螺纹接头</v>
          </cell>
          <cell r="F1041">
            <v>7.56</v>
          </cell>
        </row>
        <row r="1042">
          <cell r="B1042">
            <v>4932790</v>
          </cell>
        </row>
        <row r="1042">
          <cell r="D1042">
            <v>0</v>
          </cell>
          <cell r="E1042" t="str">
            <v>内六角螺栓</v>
          </cell>
          <cell r="F1042">
            <v>35.13</v>
          </cell>
        </row>
        <row r="1043">
          <cell r="B1043">
            <v>5377755</v>
          </cell>
        </row>
        <row r="1043">
          <cell r="D1043">
            <v>0</v>
          </cell>
          <cell r="E1043" t="str">
            <v>内六角螺栓</v>
          </cell>
          <cell r="F1043">
            <v>1.84</v>
          </cell>
        </row>
        <row r="1044">
          <cell r="B1044">
            <v>3328789</v>
          </cell>
        </row>
        <row r="1044">
          <cell r="D1044">
            <v>0</v>
          </cell>
          <cell r="E1044" t="str">
            <v>内六角螺栓</v>
          </cell>
          <cell r="F1044">
            <v>1.42</v>
          </cell>
        </row>
        <row r="1045">
          <cell r="B1045">
            <v>3957849</v>
          </cell>
        </row>
        <row r="1045">
          <cell r="D1045" t="str">
            <v>ISF2.8/3.8</v>
          </cell>
          <cell r="E1045" t="str">
            <v>内六角螺栓</v>
          </cell>
          <cell r="F1045">
            <v>1.38</v>
          </cell>
        </row>
        <row r="1046">
          <cell r="B1046">
            <v>4895877</v>
          </cell>
        </row>
        <row r="1046">
          <cell r="D1046">
            <v>0</v>
          </cell>
          <cell r="E1046" t="str">
            <v>内六角螺栓</v>
          </cell>
          <cell r="F1046">
            <v>0.82</v>
          </cell>
        </row>
        <row r="1047">
          <cell r="B1047">
            <v>3906391</v>
          </cell>
        </row>
        <row r="1047">
          <cell r="D1047" t="str">
            <v>ISF2.8/3.8</v>
          </cell>
          <cell r="E1047" t="str">
            <v>内六角螺栓</v>
          </cell>
          <cell r="F1047">
            <v>0.32</v>
          </cell>
        </row>
        <row r="1048">
          <cell r="B1048">
            <v>3697972</v>
          </cell>
        </row>
        <row r="1048">
          <cell r="D1048">
            <v>0</v>
          </cell>
          <cell r="E1048" t="str">
            <v>摩擦增强垫片</v>
          </cell>
          <cell r="F1048">
            <v>267.0156</v>
          </cell>
        </row>
        <row r="1049">
          <cell r="B1049">
            <v>3697973</v>
          </cell>
        </row>
        <row r="1049">
          <cell r="D1049">
            <v>0</v>
          </cell>
          <cell r="E1049" t="str">
            <v>摩擦增强垫片</v>
          </cell>
          <cell r="F1049">
            <v>213.24</v>
          </cell>
        </row>
        <row r="1050">
          <cell r="B1050">
            <v>3696359</v>
          </cell>
        </row>
        <row r="1050">
          <cell r="D1050">
            <v>0</v>
          </cell>
          <cell r="E1050" t="str">
            <v>摩擦增强垫片</v>
          </cell>
          <cell r="F1050">
            <v>106.8093</v>
          </cell>
        </row>
        <row r="1051">
          <cell r="B1051">
            <v>3693940</v>
          </cell>
        </row>
        <row r="1051">
          <cell r="D1051">
            <v>0</v>
          </cell>
          <cell r="E1051" t="str">
            <v>摩擦增强垫片</v>
          </cell>
          <cell r="F1051">
            <v>98.4555</v>
          </cell>
        </row>
        <row r="1052">
          <cell r="B1052">
            <v>5262030</v>
          </cell>
        </row>
        <row r="1052">
          <cell r="D1052" t="str">
            <v>ISF2.8</v>
          </cell>
          <cell r="E1052" t="str">
            <v>摩擦增强垫片</v>
          </cell>
          <cell r="F1052">
            <v>20.61</v>
          </cell>
        </row>
        <row r="1053">
          <cell r="B1053">
            <v>5558772</v>
          </cell>
        </row>
        <row r="1053">
          <cell r="D1053">
            <v>0</v>
          </cell>
          <cell r="E1053" t="str">
            <v>模块支架</v>
          </cell>
          <cell r="F1053">
            <v>74.97</v>
          </cell>
        </row>
        <row r="1054">
          <cell r="B1054">
            <v>3698025</v>
          </cell>
        </row>
        <row r="1054">
          <cell r="D1054">
            <v>0</v>
          </cell>
          <cell r="E1054" t="str">
            <v>密封圈</v>
          </cell>
          <cell r="F1054">
            <v>90.6372</v>
          </cell>
        </row>
        <row r="1055">
          <cell r="B1055">
            <v>4947071</v>
          </cell>
        </row>
        <row r="1055">
          <cell r="D1055" t="str">
            <v>ISF3.8</v>
          </cell>
          <cell r="E1055" t="str">
            <v>密封垫圈</v>
          </cell>
          <cell r="F1055">
            <v>18.4977</v>
          </cell>
        </row>
        <row r="1056">
          <cell r="B1056">
            <v>4891385</v>
          </cell>
        </row>
        <row r="1056">
          <cell r="D1056">
            <v>0</v>
          </cell>
          <cell r="E1056" t="str">
            <v>密封垫圈</v>
          </cell>
          <cell r="F1056">
            <v>18.4977</v>
          </cell>
        </row>
        <row r="1057">
          <cell r="B1057">
            <v>4947073</v>
          </cell>
        </row>
        <row r="1057">
          <cell r="D1057" t="str">
            <v>ISF3.8</v>
          </cell>
          <cell r="E1057" t="str">
            <v>密封垫圈</v>
          </cell>
          <cell r="F1057">
            <v>12.1</v>
          </cell>
        </row>
        <row r="1058">
          <cell r="B1058">
            <v>4934278</v>
          </cell>
        </row>
        <row r="1058">
          <cell r="D1058">
            <v>0</v>
          </cell>
          <cell r="E1058" t="str">
            <v>密封垫圈</v>
          </cell>
          <cell r="F1058">
            <v>4.98</v>
          </cell>
        </row>
        <row r="1059">
          <cell r="B1059">
            <v>3963988</v>
          </cell>
        </row>
        <row r="1059">
          <cell r="D1059" t="str">
            <v>ISF3.8</v>
          </cell>
          <cell r="E1059" t="str">
            <v>密封垫圈</v>
          </cell>
          <cell r="F1059">
            <v>6.86</v>
          </cell>
        </row>
        <row r="1060">
          <cell r="B1060">
            <v>3684342</v>
          </cell>
        </row>
        <row r="1060">
          <cell r="D1060">
            <v>0</v>
          </cell>
          <cell r="E1060" t="str">
            <v>密封垫圈</v>
          </cell>
          <cell r="F1060">
            <v>6.34</v>
          </cell>
        </row>
        <row r="1061">
          <cell r="B1061">
            <v>5377720</v>
          </cell>
        </row>
        <row r="1061">
          <cell r="D1061">
            <v>0</v>
          </cell>
          <cell r="E1061" t="str">
            <v>密封垫圈</v>
          </cell>
          <cell r="F1061">
            <v>3.96</v>
          </cell>
        </row>
        <row r="1062">
          <cell r="B1062">
            <v>3695858</v>
          </cell>
        </row>
        <row r="1062">
          <cell r="D1062">
            <v>0</v>
          </cell>
          <cell r="E1062" t="str">
            <v>密封垫圈</v>
          </cell>
          <cell r="F1062">
            <v>5.74</v>
          </cell>
        </row>
        <row r="1063">
          <cell r="B1063">
            <v>3695856</v>
          </cell>
        </row>
        <row r="1063">
          <cell r="D1063">
            <v>0</v>
          </cell>
          <cell r="E1063" t="str">
            <v>密封垫圈</v>
          </cell>
          <cell r="F1063">
            <v>5.6</v>
          </cell>
        </row>
        <row r="1064">
          <cell r="B1064">
            <v>3963983</v>
          </cell>
        </row>
        <row r="1064">
          <cell r="D1064">
            <v>0</v>
          </cell>
          <cell r="E1064" t="str">
            <v>密封垫圈</v>
          </cell>
          <cell r="F1064">
            <v>2.89</v>
          </cell>
        </row>
        <row r="1065">
          <cell r="B1065">
            <v>3932484</v>
          </cell>
        </row>
        <row r="1065">
          <cell r="D1065" t="str">
            <v>ISF3.8</v>
          </cell>
          <cell r="E1065" t="str">
            <v>密封垫圈</v>
          </cell>
          <cell r="F1065">
            <v>2.84</v>
          </cell>
        </row>
        <row r="1066">
          <cell r="B1066">
            <v>5361699</v>
          </cell>
        </row>
        <row r="1066">
          <cell r="D1066">
            <v>0</v>
          </cell>
          <cell r="E1066" t="str">
            <v>密封垫圈</v>
          </cell>
          <cell r="F1066">
            <v>2.38</v>
          </cell>
        </row>
        <row r="1067">
          <cell r="B1067">
            <v>3963990</v>
          </cell>
        </row>
        <row r="1067">
          <cell r="D1067" t="str">
            <v>ISF3.8</v>
          </cell>
          <cell r="E1067" t="str">
            <v>密封垫圈</v>
          </cell>
          <cell r="F1067">
            <v>3.52</v>
          </cell>
        </row>
        <row r="1068">
          <cell r="B1068">
            <v>5291706</v>
          </cell>
        </row>
        <row r="1068">
          <cell r="D1068" t="str">
            <v>ISF2.8</v>
          </cell>
          <cell r="E1068" t="str">
            <v>密封垫圈</v>
          </cell>
          <cell r="F1068">
            <v>1.76</v>
          </cell>
        </row>
        <row r="1069">
          <cell r="B1069">
            <v>5558683</v>
          </cell>
        </row>
        <row r="1069">
          <cell r="D1069">
            <v>0</v>
          </cell>
          <cell r="E1069" t="str">
            <v>密封垫圈</v>
          </cell>
          <cell r="F1069">
            <v>2.12</v>
          </cell>
        </row>
        <row r="1070">
          <cell r="B1070">
            <v>4980089</v>
          </cell>
        </row>
        <row r="1070">
          <cell r="D1070" t="str">
            <v>ISF3.8</v>
          </cell>
          <cell r="E1070" t="str">
            <v>滤清器座接头</v>
          </cell>
          <cell r="F1070">
            <v>39.5964</v>
          </cell>
        </row>
        <row r="1071">
          <cell r="B1071">
            <v>3698443</v>
          </cell>
        </row>
        <row r="1071">
          <cell r="D1071">
            <v>0</v>
          </cell>
          <cell r="E1071" t="str">
            <v>滤清器支架</v>
          </cell>
          <cell r="F1071">
            <v>221.5</v>
          </cell>
        </row>
        <row r="1072">
          <cell r="B1072">
            <v>5557847</v>
          </cell>
        </row>
        <row r="1072">
          <cell r="D1072">
            <v>0</v>
          </cell>
          <cell r="E1072" t="str">
            <v>滤清器支架</v>
          </cell>
          <cell r="F1072">
            <v>153.4743</v>
          </cell>
        </row>
        <row r="1073">
          <cell r="B1073">
            <v>5558481</v>
          </cell>
        </row>
        <row r="1073">
          <cell r="D1073">
            <v>0</v>
          </cell>
          <cell r="E1073" t="str">
            <v>滤清器支架</v>
          </cell>
          <cell r="F1073">
            <v>88.76</v>
          </cell>
        </row>
        <row r="1074">
          <cell r="B1074">
            <v>5582711</v>
          </cell>
        </row>
        <row r="1074">
          <cell r="D1074">
            <v>0</v>
          </cell>
          <cell r="E1074" t="str">
            <v>螺柱法兰盖螺钉</v>
          </cell>
          <cell r="F1074">
            <v>3.38</v>
          </cell>
        </row>
        <row r="1075">
          <cell r="B1075">
            <v>4929128</v>
          </cell>
        </row>
        <row r="1075">
          <cell r="D1075" t="str">
            <v>ISF3.8</v>
          </cell>
          <cell r="E1075" t="str">
            <v>螺纹嵌块</v>
          </cell>
          <cell r="F1075">
            <v>19.431</v>
          </cell>
        </row>
        <row r="1076">
          <cell r="B1076">
            <v>5346627</v>
          </cell>
        </row>
        <row r="1076">
          <cell r="D1076" t="str">
            <v>ISF2.8</v>
          </cell>
          <cell r="E1076" t="str">
            <v>螺纹嵌块</v>
          </cell>
          <cell r="F1076">
            <v>3.05</v>
          </cell>
        </row>
        <row r="1077">
          <cell r="B1077">
            <v>3696973</v>
          </cell>
        </row>
        <row r="1077">
          <cell r="D1077">
            <v>0</v>
          </cell>
          <cell r="E1077" t="str">
            <v>螺纹垫块</v>
          </cell>
          <cell r="F1077">
            <v>8.04</v>
          </cell>
        </row>
        <row r="1078">
          <cell r="B1078">
            <v>3678838</v>
          </cell>
        </row>
        <row r="1078">
          <cell r="D1078">
            <v>0</v>
          </cell>
          <cell r="E1078" t="str">
            <v>螺塞</v>
          </cell>
          <cell r="F1078">
            <v>24.5412</v>
          </cell>
        </row>
        <row r="1079">
          <cell r="B1079">
            <v>5267095</v>
          </cell>
        </row>
        <row r="1079">
          <cell r="D1079" t="str">
            <v>ISF2.8</v>
          </cell>
          <cell r="E1079" t="str">
            <v>螺塞</v>
          </cell>
          <cell r="F1079">
            <v>18.756</v>
          </cell>
        </row>
        <row r="1080">
          <cell r="B1080">
            <v>5664551</v>
          </cell>
        </row>
        <row r="1080">
          <cell r="D1080">
            <v>0</v>
          </cell>
          <cell r="E1080" t="str">
            <v>螺塞</v>
          </cell>
          <cell r="F1080">
            <v>15.82</v>
          </cell>
        </row>
        <row r="1081">
          <cell r="B1081">
            <v>6416471</v>
          </cell>
          <cell r="C1081">
            <v>4994692</v>
          </cell>
          <cell r="D1081" t="str">
            <v>ISF2.8/3.8</v>
          </cell>
          <cell r="E1081" t="str">
            <v>螺塞</v>
          </cell>
          <cell r="F1081">
            <v>19.32</v>
          </cell>
        </row>
        <row r="1082">
          <cell r="B1082">
            <v>3089023</v>
          </cell>
        </row>
        <row r="1082">
          <cell r="D1082" t="str">
            <v>ISG</v>
          </cell>
          <cell r="E1082" t="str">
            <v>螺塞</v>
          </cell>
          <cell r="F1082">
            <v>17.0901</v>
          </cell>
        </row>
        <row r="1083">
          <cell r="B1083">
            <v>4947072</v>
          </cell>
        </row>
        <row r="1083">
          <cell r="D1083" t="str">
            <v>ISF3.8</v>
          </cell>
          <cell r="E1083" t="str">
            <v>螺塞</v>
          </cell>
          <cell r="F1083">
            <v>12.1</v>
          </cell>
        </row>
        <row r="1084">
          <cell r="B1084">
            <v>5260603</v>
          </cell>
        </row>
        <row r="1084">
          <cell r="D1084">
            <v>0</v>
          </cell>
          <cell r="E1084" t="str">
            <v>螺塞</v>
          </cell>
          <cell r="F1084">
            <v>11.16</v>
          </cell>
        </row>
        <row r="1085">
          <cell r="B1085">
            <v>5259561</v>
          </cell>
        </row>
        <row r="1085">
          <cell r="D1085" t="str">
            <v>ISF2.8/3.8</v>
          </cell>
          <cell r="E1085" t="str">
            <v>螺塞</v>
          </cell>
          <cell r="F1085">
            <v>11.4</v>
          </cell>
        </row>
        <row r="1086">
          <cell r="B1086">
            <v>5259558</v>
          </cell>
        </row>
        <row r="1086">
          <cell r="D1086">
            <v>0</v>
          </cell>
          <cell r="E1086" t="str">
            <v>螺塞</v>
          </cell>
          <cell r="F1086">
            <v>9.12</v>
          </cell>
        </row>
        <row r="1087">
          <cell r="B1087">
            <v>3696994</v>
          </cell>
        </row>
        <row r="1087">
          <cell r="D1087">
            <v>0</v>
          </cell>
          <cell r="E1087" t="str">
            <v>螺塞</v>
          </cell>
          <cell r="F1087">
            <v>8.47</v>
          </cell>
        </row>
        <row r="1088">
          <cell r="B1088">
            <v>5291831</v>
          </cell>
        </row>
        <row r="1088">
          <cell r="D1088" t="str">
            <v>ISF3.8</v>
          </cell>
          <cell r="E1088" t="str">
            <v>螺塞</v>
          </cell>
          <cell r="F1088">
            <v>12.9</v>
          </cell>
        </row>
        <row r="1089">
          <cell r="B1089">
            <v>3698081</v>
          </cell>
        </row>
        <row r="1089">
          <cell r="D1089">
            <v>0</v>
          </cell>
          <cell r="E1089" t="str">
            <v>螺塞</v>
          </cell>
          <cell r="F1089">
            <v>12.36</v>
          </cell>
        </row>
        <row r="1090">
          <cell r="B1090">
            <v>3678611</v>
          </cell>
        </row>
        <row r="1090">
          <cell r="D1090" t="str">
            <v>ISF2.8</v>
          </cell>
          <cell r="E1090" t="str">
            <v>螺塞</v>
          </cell>
          <cell r="F1090">
            <v>12.34</v>
          </cell>
        </row>
        <row r="1091">
          <cell r="B1091">
            <v>2895382</v>
          </cell>
        </row>
        <row r="1091">
          <cell r="D1091">
            <v>0</v>
          </cell>
          <cell r="E1091" t="str">
            <v>螺塞</v>
          </cell>
          <cell r="F1091">
            <v>7.86</v>
          </cell>
        </row>
        <row r="1092">
          <cell r="B1092">
            <v>3678921</v>
          </cell>
        </row>
        <row r="1092">
          <cell r="D1092" t="str">
            <v>ISF2.8</v>
          </cell>
          <cell r="E1092" t="str">
            <v>螺塞</v>
          </cell>
          <cell r="F1092">
            <v>11.38</v>
          </cell>
        </row>
        <row r="1093">
          <cell r="B1093">
            <v>3089567</v>
          </cell>
        </row>
        <row r="1093">
          <cell r="D1093">
            <v>0</v>
          </cell>
          <cell r="E1093" t="str">
            <v>螺塞</v>
          </cell>
          <cell r="F1093">
            <v>6.88</v>
          </cell>
        </row>
        <row r="1094">
          <cell r="B1094">
            <v>4947074</v>
          </cell>
        </row>
        <row r="1094">
          <cell r="D1094" t="str">
            <v>ISF3.8</v>
          </cell>
          <cell r="E1094" t="str">
            <v>螺塞</v>
          </cell>
          <cell r="F1094">
            <v>5.1</v>
          </cell>
        </row>
        <row r="1095">
          <cell r="B1095">
            <v>5259562</v>
          </cell>
        </row>
        <row r="1095">
          <cell r="D1095">
            <v>0</v>
          </cell>
          <cell r="E1095" t="str">
            <v>螺塞</v>
          </cell>
          <cell r="F1095">
            <v>4.97</v>
          </cell>
        </row>
        <row r="1096">
          <cell r="B1096">
            <v>5265739</v>
          </cell>
        </row>
        <row r="1096">
          <cell r="D1096" t="str">
            <v>ISF2.8</v>
          </cell>
          <cell r="E1096" t="str">
            <v>螺塞</v>
          </cell>
          <cell r="F1096">
            <v>4.36</v>
          </cell>
        </row>
        <row r="1097">
          <cell r="B1097">
            <v>4931643</v>
          </cell>
        </row>
        <row r="1097">
          <cell r="D1097">
            <v>0</v>
          </cell>
          <cell r="E1097" t="str">
            <v>螺塞</v>
          </cell>
          <cell r="F1097">
            <v>5.44</v>
          </cell>
        </row>
        <row r="1098">
          <cell r="B1098">
            <v>3904181</v>
          </cell>
        </row>
        <row r="1098">
          <cell r="D1098">
            <v>0</v>
          </cell>
          <cell r="E1098" t="str">
            <v>螺塞</v>
          </cell>
          <cell r="F1098">
            <v>2.95</v>
          </cell>
        </row>
        <row r="1099">
          <cell r="B1099">
            <v>3008469</v>
          </cell>
        </row>
        <row r="1099">
          <cell r="D1099" t="str">
            <v>ISF3.8/ISG</v>
          </cell>
          <cell r="E1099" t="str">
            <v>螺塞</v>
          </cell>
          <cell r="F1099">
            <v>4.26</v>
          </cell>
        </row>
        <row r="1100">
          <cell r="B1100">
            <v>5333468</v>
          </cell>
        </row>
        <row r="1100">
          <cell r="D1100" t="str">
            <v>ISF3.8</v>
          </cell>
          <cell r="E1100" t="str">
            <v>螺塞</v>
          </cell>
          <cell r="F1100">
            <v>2.06</v>
          </cell>
        </row>
        <row r="1101">
          <cell r="B1101">
            <v>5475332</v>
          </cell>
        </row>
        <row r="1101">
          <cell r="D1101" t="str">
            <v>ISF3.8</v>
          </cell>
          <cell r="E1101" t="str">
            <v>螺塞</v>
          </cell>
          <cell r="F1101">
            <v>1.5</v>
          </cell>
        </row>
        <row r="1102">
          <cell r="B1102">
            <v>3008466</v>
          </cell>
        </row>
        <row r="1102">
          <cell r="D1102" t="str">
            <v>ISG</v>
          </cell>
          <cell r="E1102" t="str">
            <v>螺塞</v>
          </cell>
          <cell r="F1102">
            <v>1.5</v>
          </cell>
        </row>
        <row r="1103">
          <cell r="B1103">
            <v>3008465</v>
          </cell>
        </row>
        <row r="1103">
          <cell r="D1103" t="str">
            <v>ISF2.8</v>
          </cell>
          <cell r="E1103" t="str">
            <v>螺塞</v>
          </cell>
          <cell r="F1103">
            <v>1.4</v>
          </cell>
        </row>
        <row r="1104">
          <cell r="B1104">
            <v>3907769</v>
          </cell>
        </row>
        <row r="1104">
          <cell r="D1104" t="str">
            <v>ISF2.8/3.8</v>
          </cell>
          <cell r="E1104" t="str">
            <v>六角头螺栓</v>
          </cell>
          <cell r="F1104">
            <v>7.82</v>
          </cell>
        </row>
        <row r="1105">
          <cell r="B1105">
            <v>5395823</v>
          </cell>
        </row>
        <row r="1105">
          <cell r="D1105">
            <v>0</v>
          </cell>
          <cell r="E1105" t="str">
            <v>六角头螺栓</v>
          </cell>
          <cell r="F1105">
            <v>7.1</v>
          </cell>
        </row>
        <row r="1106">
          <cell r="B1106">
            <v>3093922</v>
          </cell>
        </row>
        <row r="1106">
          <cell r="D1106">
            <v>0</v>
          </cell>
          <cell r="E1106" t="str">
            <v>六角头螺栓</v>
          </cell>
          <cell r="F1106">
            <v>2.8</v>
          </cell>
        </row>
        <row r="1107">
          <cell r="B1107">
            <v>5377745</v>
          </cell>
        </row>
        <row r="1107">
          <cell r="D1107">
            <v>0</v>
          </cell>
          <cell r="E1107" t="str">
            <v>六角头螺栓</v>
          </cell>
          <cell r="F1107">
            <v>0.82</v>
          </cell>
        </row>
        <row r="1108">
          <cell r="B1108">
            <v>4980154</v>
          </cell>
        </row>
        <row r="1108">
          <cell r="D1108">
            <v>0</v>
          </cell>
          <cell r="E1108" t="str">
            <v>六角锁紧螺母</v>
          </cell>
          <cell r="F1108">
            <v>10.23</v>
          </cell>
        </row>
        <row r="1109">
          <cell r="B1109">
            <v>3927692</v>
          </cell>
        </row>
        <row r="1109">
          <cell r="D1109" t="str">
            <v>ISF3.8</v>
          </cell>
          <cell r="E1109" t="str">
            <v>六角厚螺母</v>
          </cell>
          <cell r="F1109">
            <v>1.85</v>
          </cell>
        </row>
        <row r="1110">
          <cell r="B1110">
            <v>5661022</v>
          </cell>
        </row>
        <row r="1110">
          <cell r="D1110">
            <v>0</v>
          </cell>
          <cell r="E1110" t="str">
            <v>六角法兰面螺栓</v>
          </cell>
          <cell r="F1110">
            <v>22.26</v>
          </cell>
        </row>
        <row r="1111">
          <cell r="B1111">
            <v>5663813</v>
          </cell>
        </row>
        <row r="1111">
          <cell r="D1111">
            <v>0</v>
          </cell>
          <cell r="E1111" t="str">
            <v>六角法兰面螺栓</v>
          </cell>
          <cell r="F1111">
            <v>14.57</v>
          </cell>
        </row>
        <row r="1112">
          <cell r="B1112">
            <v>5257728</v>
          </cell>
        </row>
        <row r="1112">
          <cell r="D1112" t="str">
            <v>ISF2.8</v>
          </cell>
          <cell r="E1112" t="str">
            <v>六角法兰面螺栓</v>
          </cell>
          <cell r="F1112">
            <v>13.93</v>
          </cell>
        </row>
        <row r="1113">
          <cell r="B1113">
            <v>3697706</v>
          </cell>
        </row>
        <row r="1113">
          <cell r="D1113">
            <v>0</v>
          </cell>
          <cell r="E1113" t="str">
            <v>六角法兰面螺栓</v>
          </cell>
          <cell r="F1113">
            <v>13.02</v>
          </cell>
        </row>
        <row r="1114">
          <cell r="B1114">
            <v>5271299</v>
          </cell>
        </row>
        <row r="1114">
          <cell r="D1114">
            <v>0</v>
          </cell>
          <cell r="E1114" t="str">
            <v>六角法兰面螺栓</v>
          </cell>
          <cell r="F1114">
            <v>9.34</v>
          </cell>
        </row>
        <row r="1115">
          <cell r="B1115">
            <v>3697357</v>
          </cell>
        </row>
        <row r="1115">
          <cell r="D1115">
            <v>0</v>
          </cell>
          <cell r="E1115" t="str">
            <v>六角法兰面螺栓</v>
          </cell>
          <cell r="F1115">
            <v>8.96</v>
          </cell>
        </row>
        <row r="1116">
          <cell r="B1116">
            <v>3696488</v>
          </cell>
        </row>
        <row r="1116">
          <cell r="D1116">
            <v>0</v>
          </cell>
          <cell r="E1116" t="str">
            <v>六角法兰面螺栓</v>
          </cell>
          <cell r="F1116">
            <v>13.9</v>
          </cell>
        </row>
        <row r="1117">
          <cell r="B1117">
            <v>4940194</v>
          </cell>
        </row>
        <row r="1117">
          <cell r="D1117" t="str">
            <v>ISF3.8</v>
          </cell>
          <cell r="E1117" t="str">
            <v>六角法兰面螺栓</v>
          </cell>
          <cell r="F1117">
            <v>8.34</v>
          </cell>
        </row>
        <row r="1118">
          <cell r="B1118">
            <v>3697974</v>
          </cell>
        </row>
        <row r="1118">
          <cell r="D1118">
            <v>0</v>
          </cell>
          <cell r="E1118" t="str">
            <v>六角法兰面螺栓</v>
          </cell>
          <cell r="F1118">
            <v>7.33</v>
          </cell>
        </row>
        <row r="1119">
          <cell r="B1119">
            <v>3696335</v>
          </cell>
        </row>
        <row r="1119">
          <cell r="D1119">
            <v>0</v>
          </cell>
          <cell r="E1119" t="str">
            <v>六角法兰面螺栓</v>
          </cell>
          <cell r="F1119">
            <v>11.42</v>
          </cell>
        </row>
        <row r="1120">
          <cell r="B1120">
            <v>5270033</v>
          </cell>
        </row>
        <row r="1120">
          <cell r="D1120">
            <v>0</v>
          </cell>
          <cell r="E1120" t="str">
            <v>六角法兰面螺栓</v>
          </cell>
          <cell r="F1120">
            <v>7.27</v>
          </cell>
        </row>
        <row r="1121">
          <cell r="B1121">
            <v>3171724</v>
          </cell>
        </row>
        <row r="1121">
          <cell r="D1121">
            <v>0</v>
          </cell>
          <cell r="E1121" t="str">
            <v>六角法兰面螺栓</v>
          </cell>
          <cell r="F1121">
            <v>11.3</v>
          </cell>
        </row>
        <row r="1122">
          <cell r="B1122">
            <v>3695822</v>
          </cell>
        </row>
        <row r="1122">
          <cell r="D1122">
            <v>0</v>
          </cell>
          <cell r="E1122" t="str">
            <v>六角法兰面螺栓</v>
          </cell>
          <cell r="F1122">
            <v>11.3</v>
          </cell>
        </row>
        <row r="1123">
          <cell r="B1123">
            <v>3937181</v>
          </cell>
        </row>
        <row r="1123">
          <cell r="D1123">
            <v>0</v>
          </cell>
          <cell r="E1123" t="str">
            <v>六角法兰面螺栓</v>
          </cell>
          <cell r="F1123">
            <v>7.07</v>
          </cell>
        </row>
        <row r="1124">
          <cell r="B1124">
            <v>5537374</v>
          </cell>
        </row>
        <row r="1124">
          <cell r="D1124">
            <v>0</v>
          </cell>
          <cell r="E1124" t="str">
            <v>六角法兰面螺栓</v>
          </cell>
          <cell r="F1124">
            <v>6.41</v>
          </cell>
        </row>
        <row r="1125">
          <cell r="B1125">
            <v>5274320</v>
          </cell>
        </row>
        <row r="1125">
          <cell r="D1125">
            <v>0</v>
          </cell>
          <cell r="E1125" t="str">
            <v>六角法兰面螺栓</v>
          </cell>
          <cell r="F1125">
            <v>6.2</v>
          </cell>
        </row>
        <row r="1126">
          <cell r="B1126">
            <v>5305333</v>
          </cell>
        </row>
        <row r="1126">
          <cell r="D1126">
            <v>0</v>
          </cell>
          <cell r="E1126" t="str">
            <v>六角法兰面螺栓</v>
          </cell>
          <cell r="F1126">
            <v>5.97</v>
          </cell>
        </row>
        <row r="1127">
          <cell r="B1127">
            <v>3914407</v>
          </cell>
        </row>
        <row r="1127">
          <cell r="D1127" t="str">
            <v>ISF2.8</v>
          </cell>
          <cell r="E1127" t="str">
            <v>六角法兰面螺栓</v>
          </cell>
          <cell r="F1127">
            <v>9.02</v>
          </cell>
        </row>
        <row r="1128">
          <cell r="B1128">
            <v>5591660</v>
          </cell>
        </row>
        <row r="1128">
          <cell r="D1128">
            <v>0</v>
          </cell>
          <cell r="E1128" t="str">
            <v>六角法兰面螺栓</v>
          </cell>
          <cell r="F1128">
            <v>5.72</v>
          </cell>
        </row>
        <row r="1129">
          <cell r="B1129">
            <v>5268870</v>
          </cell>
        </row>
        <row r="1129">
          <cell r="D1129" t="str">
            <v>ISF3.8</v>
          </cell>
          <cell r="E1129" t="str">
            <v>六角法兰面螺栓</v>
          </cell>
          <cell r="F1129">
            <v>5.38</v>
          </cell>
        </row>
        <row r="1130">
          <cell r="B1130">
            <v>5614450</v>
          </cell>
        </row>
        <row r="1130">
          <cell r="D1130">
            <v>0</v>
          </cell>
          <cell r="E1130" t="str">
            <v>六角法兰面螺栓</v>
          </cell>
          <cell r="F1130">
            <v>5.31</v>
          </cell>
        </row>
        <row r="1131">
          <cell r="B1131">
            <v>3171713</v>
          </cell>
        </row>
        <row r="1131">
          <cell r="D1131">
            <v>0</v>
          </cell>
          <cell r="E1131" t="str">
            <v>六角法兰面螺栓</v>
          </cell>
          <cell r="F1131">
            <v>5.18</v>
          </cell>
        </row>
        <row r="1132">
          <cell r="B1132">
            <v>5337515</v>
          </cell>
        </row>
        <row r="1132">
          <cell r="D1132" t="str">
            <v>ISF2.8</v>
          </cell>
          <cell r="E1132" t="str">
            <v>六角法兰面螺栓</v>
          </cell>
          <cell r="F1132">
            <v>5.15</v>
          </cell>
        </row>
        <row r="1133">
          <cell r="B1133">
            <v>3696708</v>
          </cell>
        </row>
        <row r="1133">
          <cell r="D1133">
            <v>0</v>
          </cell>
          <cell r="E1133" t="str">
            <v>六角法兰面螺栓</v>
          </cell>
          <cell r="F1133">
            <v>7.86</v>
          </cell>
        </row>
        <row r="1134">
          <cell r="B1134">
            <v>3864113</v>
          </cell>
        </row>
        <row r="1134">
          <cell r="D1134">
            <v>0</v>
          </cell>
          <cell r="E1134" t="str">
            <v>六角法兰面螺栓</v>
          </cell>
          <cell r="F1134">
            <v>4.76</v>
          </cell>
        </row>
        <row r="1135">
          <cell r="B1135">
            <v>5557867</v>
          </cell>
        </row>
        <row r="1135">
          <cell r="D1135">
            <v>0</v>
          </cell>
          <cell r="E1135" t="str">
            <v>六角法兰面螺栓</v>
          </cell>
          <cell r="F1135">
            <v>4.76</v>
          </cell>
        </row>
        <row r="1136">
          <cell r="B1136">
            <v>3089316</v>
          </cell>
        </row>
        <row r="1136">
          <cell r="D1136">
            <v>0</v>
          </cell>
          <cell r="E1136" t="str">
            <v>六角法兰面螺栓</v>
          </cell>
          <cell r="F1136">
            <v>4.73</v>
          </cell>
        </row>
        <row r="1137">
          <cell r="B1137">
            <v>4990385</v>
          </cell>
        </row>
        <row r="1137">
          <cell r="D1137" t="str">
            <v>ISF2.8</v>
          </cell>
          <cell r="E1137" t="str">
            <v>六角法兰面螺栓</v>
          </cell>
          <cell r="F1137">
            <v>4.57</v>
          </cell>
        </row>
        <row r="1138">
          <cell r="B1138">
            <v>3944593</v>
          </cell>
        </row>
        <row r="1138">
          <cell r="D1138" t="str">
            <v>ISF3.8</v>
          </cell>
          <cell r="E1138" t="str">
            <v>六角法兰面螺栓</v>
          </cell>
          <cell r="F1138">
            <v>4.38</v>
          </cell>
        </row>
        <row r="1139">
          <cell r="B1139">
            <v>4991835</v>
          </cell>
        </row>
        <row r="1139">
          <cell r="D1139" t="str">
            <v>ISF3.8</v>
          </cell>
          <cell r="E1139" t="str">
            <v>六角法兰面螺栓</v>
          </cell>
          <cell r="F1139">
            <v>6.34</v>
          </cell>
        </row>
        <row r="1140">
          <cell r="B1140">
            <v>3093936</v>
          </cell>
        </row>
        <row r="1140">
          <cell r="D1140">
            <v>0</v>
          </cell>
          <cell r="E1140" t="str">
            <v>六角法兰面螺栓</v>
          </cell>
          <cell r="F1140">
            <v>4.04</v>
          </cell>
        </row>
        <row r="1141">
          <cell r="B1141">
            <v>3089188</v>
          </cell>
        </row>
        <row r="1141">
          <cell r="D1141" t="str">
            <v>ISF3.8</v>
          </cell>
          <cell r="E1141" t="str">
            <v>六角法兰面螺栓</v>
          </cell>
          <cell r="F1141">
            <v>3.92</v>
          </cell>
        </row>
        <row r="1142">
          <cell r="B1142">
            <v>3913366</v>
          </cell>
        </row>
        <row r="1142">
          <cell r="D1142" t="str">
            <v>ISF3.8</v>
          </cell>
          <cell r="E1142" t="str">
            <v>六角法兰面螺栓</v>
          </cell>
          <cell r="F1142">
            <v>6.04</v>
          </cell>
        </row>
        <row r="1143">
          <cell r="B1143">
            <v>5270031</v>
          </cell>
        </row>
        <row r="1143">
          <cell r="D1143">
            <v>0</v>
          </cell>
          <cell r="E1143" t="str">
            <v>六角法兰面螺栓</v>
          </cell>
          <cell r="F1143">
            <v>5.86</v>
          </cell>
        </row>
        <row r="1144">
          <cell r="B1144">
            <v>3696852</v>
          </cell>
        </row>
        <row r="1144">
          <cell r="D1144">
            <v>0</v>
          </cell>
          <cell r="E1144" t="str">
            <v>六角法兰面螺栓</v>
          </cell>
          <cell r="F1144">
            <v>5.84</v>
          </cell>
        </row>
        <row r="1145">
          <cell r="B1145">
            <v>5270032</v>
          </cell>
        </row>
        <row r="1145">
          <cell r="D1145">
            <v>0</v>
          </cell>
          <cell r="E1145" t="str">
            <v>六角法兰面螺栓</v>
          </cell>
          <cell r="F1145">
            <v>3.6</v>
          </cell>
        </row>
        <row r="1146">
          <cell r="B1146">
            <v>4992390</v>
          </cell>
        </row>
        <row r="1146">
          <cell r="D1146">
            <v>0</v>
          </cell>
          <cell r="E1146" t="str">
            <v>六角法兰面螺栓</v>
          </cell>
          <cell r="F1146">
            <v>3.57</v>
          </cell>
        </row>
        <row r="1147">
          <cell r="B1147">
            <v>5709269</v>
          </cell>
        </row>
        <row r="1147">
          <cell r="D1147">
            <v>0</v>
          </cell>
          <cell r="E1147" t="str">
            <v>六角法兰面螺栓</v>
          </cell>
          <cell r="F1147">
            <v>3.57</v>
          </cell>
        </row>
        <row r="1148">
          <cell r="B1148">
            <v>5558716</v>
          </cell>
        </row>
        <row r="1148">
          <cell r="D1148">
            <v>0</v>
          </cell>
          <cell r="E1148" t="str">
            <v>六角法兰面螺栓</v>
          </cell>
          <cell r="F1148">
            <v>3.47</v>
          </cell>
        </row>
        <row r="1149">
          <cell r="B1149">
            <v>5288010</v>
          </cell>
        </row>
        <row r="1149">
          <cell r="D1149">
            <v>0</v>
          </cell>
          <cell r="E1149" t="str">
            <v>六角法兰面螺栓</v>
          </cell>
          <cell r="F1149">
            <v>3.36</v>
          </cell>
        </row>
        <row r="1150">
          <cell r="B1150">
            <v>2830730</v>
          </cell>
        </row>
        <row r="1150">
          <cell r="D1150">
            <v>0</v>
          </cell>
          <cell r="E1150" t="str">
            <v>六角法兰面螺栓</v>
          </cell>
          <cell r="F1150">
            <v>3.3</v>
          </cell>
        </row>
        <row r="1151">
          <cell r="B1151">
            <v>3163994</v>
          </cell>
        </row>
        <row r="1151">
          <cell r="D1151" t="str">
            <v>ISF2.8</v>
          </cell>
          <cell r="E1151" t="str">
            <v>六角法兰面螺栓</v>
          </cell>
          <cell r="F1151">
            <v>3.28</v>
          </cell>
        </row>
        <row r="1152">
          <cell r="B1152">
            <v>3914177</v>
          </cell>
        </row>
        <row r="1152">
          <cell r="D1152" t="str">
            <v>ISF3.8</v>
          </cell>
          <cell r="E1152" t="str">
            <v>六角法兰面螺栓</v>
          </cell>
          <cell r="F1152">
            <v>3.18</v>
          </cell>
        </row>
        <row r="1153">
          <cell r="B1153">
            <v>3901757</v>
          </cell>
        </row>
        <row r="1153">
          <cell r="D1153">
            <v>0</v>
          </cell>
          <cell r="E1153" t="str">
            <v>六角法兰面螺栓</v>
          </cell>
          <cell r="F1153">
            <v>3.17</v>
          </cell>
        </row>
        <row r="1154">
          <cell r="B1154">
            <v>5369870</v>
          </cell>
        </row>
        <row r="1154">
          <cell r="D1154">
            <v>0</v>
          </cell>
          <cell r="E1154" t="str">
            <v>六角法兰面螺栓</v>
          </cell>
          <cell r="F1154">
            <v>3.17</v>
          </cell>
        </row>
        <row r="1155">
          <cell r="B1155">
            <v>3904446</v>
          </cell>
        </row>
        <row r="1155">
          <cell r="D1155" t="str">
            <v>ISF3.8</v>
          </cell>
          <cell r="E1155" t="str">
            <v>六角法兰面螺栓</v>
          </cell>
          <cell r="F1155">
            <v>3.14</v>
          </cell>
        </row>
        <row r="1156">
          <cell r="B1156">
            <v>3093921</v>
          </cell>
        </row>
        <row r="1156">
          <cell r="D1156">
            <v>0</v>
          </cell>
          <cell r="E1156" t="str">
            <v>六角法兰面螺栓</v>
          </cell>
          <cell r="F1156">
            <v>4.88</v>
          </cell>
        </row>
        <row r="1157">
          <cell r="B1157">
            <v>5709367</v>
          </cell>
        </row>
        <row r="1157">
          <cell r="D1157">
            <v>0</v>
          </cell>
          <cell r="E1157" t="str">
            <v>六角法兰面螺栓</v>
          </cell>
          <cell r="F1157">
            <v>3.08</v>
          </cell>
        </row>
        <row r="1158">
          <cell r="B1158">
            <v>3916069</v>
          </cell>
        </row>
        <row r="1158">
          <cell r="D1158">
            <v>0</v>
          </cell>
          <cell r="E1158" t="str">
            <v>六角法兰面螺栓</v>
          </cell>
          <cell r="F1158">
            <v>3.06</v>
          </cell>
        </row>
        <row r="1159">
          <cell r="B1159">
            <v>3925402</v>
          </cell>
        </row>
        <row r="1159">
          <cell r="D1159" t="str">
            <v>ISF2.8/3.8</v>
          </cell>
          <cell r="E1159" t="str">
            <v>六角法兰面螺栓</v>
          </cell>
          <cell r="F1159">
            <v>2.99</v>
          </cell>
        </row>
        <row r="1160">
          <cell r="B1160">
            <v>3093926</v>
          </cell>
        </row>
        <row r="1160">
          <cell r="D1160" t="str">
            <v>ISF2.8</v>
          </cell>
          <cell r="E1160" t="str">
            <v>六角法兰面螺栓</v>
          </cell>
          <cell r="F1160">
            <v>2.96</v>
          </cell>
        </row>
        <row r="1161">
          <cell r="B1161">
            <v>3902116</v>
          </cell>
        </row>
        <row r="1161">
          <cell r="D1161" t="str">
            <v>ISF2.8</v>
          </cell>
          <cell r="E1161" t="str">
            <v>六角法兰面螺栓</v>
          </cell>
          <cell r="F1161">
            <v>2.93</v>
          </cell>
        </row>
        <row r="1162">
          <cell r="B1162">
            <v>3900637</v>
          </cell>
        </row>
        <row r="1162">
          <cell r="D1162" t="str">
            <v>ISF3.8</v>
          </cell>
          <cell r="E1162" t="str">
            <v>六角法兰面螺栓</v>
          </cell>
          <cell r="F1162">
            <v>4.42</v>
          </cell>
        </row>
        <row r="1163">
          <cell r="B1163">
            <v>5305880</v>
          </cell>
        </row>
        <row r="1163">
          <cell r="D1163">
            <v>0</v>
          </cell>
          <cell r="E1163" t="str">
            <v>六角法兰面螺栓</v>
          </cell>
          <cell r="F1163">
            <v>2.83</v>
          </cell>
        </row>
        <row r="1164">
          <cell r="B1164">
            <v>5582270</v>
          </cell>
        </row>
        <row r="1164">
          <cell r="D1164">
            <v>0</v>
          </cell>
          <cell r="E1164" t="str">
            <v>六角法兰面螺栓</v>
          </cell>
          <cell r="F1164">
            <v>2.83</v>
          </cell>
        </row>
        <row r="1165">
          <cell r="B1165">
            <v>3900633</v>
          </cell>
        </row>
        <row r="1165">
          <cell r="D1165" t="str">
            <v>ISF2.8/3.8</v>
          </cell>
          <cell r="E1165" t="str">
            <v>六角法兰面螺栓</v>
          </cell>
          <cell r="F1165">
            <v>4.4</v>
          </cell>
        </row>
        <row r="1166">
          <cell r="B1166">
            <v>3966976</v>
          </cell>
        </row>
        <row r="1166">
          <cell r="D1166">
            <v>0</v>
          </cell>
          <cell r="E1166" t="str">
            <v>六角法兰面螺栓</v>
          </cell>
          <cell r="F1166">
            <v>2.75</v>
          </cell>
        </row>
        <row r="1167">
          <cell r="B1167">
            <v>4898482</v>
          </cell>
        </row>
        <row r="1167">
          <cell r="D1167" t="str">
            <v>ISF2.8/3.8</v>
          </cell>
          <cell r="E1167" t="str">
            <v>六角法兰面螺栓</v>
          </cell>
          <cell r="F1167">
            <v>4.18</v>
          </cell>
        </row>
        <row r="1168">
          <cell r="B1168">
            <v>3286392</v>
          </cell>
        </row>
        <row r="1168">
          <cell r="D1168" t="str">
            <v>ISF2.8</v>
          </cell>
          <cell r="E1168" t="str">
            <v>六角法兰面螺栓</v>
          </cell>
          <cell r="F1168">
            <v>2.66</v>
          </cell>
        </row>
        <row r="1169">
          <cell r="B1169">
            <v>3902663</v>
          </cell>
        </row>
        <row r="1169">
          <cell r="D1169" t="str">
            <v>ISF3.8</v>
          </cell>
          <cell r="E1169" t="str">
            <v>六角法兰面螺栓</v>
          </cell>
          <cell r="F1169">
            <v>4.12</v>
          </cell>
        </row>
        <row r="1170">
          <cell r="B1170">
            <v>3285067</v>
          </cell>
        </row>
        <row r="1170">
          <cell r="D1170">
            <v>0</v>
          </cell>
          <cell r="E1170" t="str">
            <v>六角法兰面螺栓</v>
          </cell>
          <cell r="F1170">
            <v>2.58</v>
          </cell>
        </row>
        <row r="1171">
          <cell r="B1171">
            <v>5313458</v>
          </cell>
        </row>
        <row r="1171">
          <cell r="D1171">
            <v>0</v>
          </cell>
          <cell r="E1171" t="str">
            <v>六角法兰面螺栓</v>
          </cell>
          <cell r="F1171">
            <v>3.98</v>
          </cell>
        </row>
        <row r="1172">
          <cell r="B1172">
            <v>3093940</v>
          </cell>
        </row>
        <row r="1172">
          <cell r="D1172" t="str">
            <v>ISF2.8</v>
          </cell>
          <cell r="E1172" t="str">
            <v>六角法兰面螺栓</v>
          </cell>
          <cell r="F1172">
            <v>3.92</v>
          </cell>
        </row>
        <row r="1173">
          <cell r="B1173">
            <v>5368306</v>
          </cell>
        </row>
        <row r="1173">
          <cell r="D1173">
            <v>0</v>
          </cell>
          <cell r="E1173" t="str">
            <v>六角法兰面螺栓</v>
          </cell>
          <cell r="F1173">
            <v>2.38</v>
          </cell>
        </row>
        <row r="1174">
          <cell r="B1174">
            <v>3902112</v>
          </cell>
        </row>
        <row r="1174">
          <cell r="D1174" t="str">
            <v>ISF3.8</v>
          </cell>
          <cell r="E1174" t="str">
            <v>六角法兰面螺栓</v>
          </cell>
          <cell r="F1174">
            <v>2.26</v>
          </cell>
        </row>
        <row r="1175">
          <cell r="B1175">
            <v>3093930</v>
          </cell>
        </row>
        <row r="1175">
          <cell r="D1175" t="str">
            <v>ISF3.8</v>
          </cell>
          <cell r="E1175" t="str">
            <v>六角法兰面螺栓</v>
          </cell>
          <cell r="F1175">
            <v>2.26</v>
          </cell>
        </row>
        <row r="1176">
          <cell r="B1176">
            <v>3089016</v>
          </cell>
        </row>
        <row r="1176">
          <cell r="D1176" t="str">
            <v>ISF2.8/3.8</v>
          </cell>
          <cell r="E1176" t="str">
            <v>六角法兰面螺栓</v>
          </cell>
          <cell r="F1176">
            <v>3.44</v>
          </cell>
        </row>
        <row r="1177">
          <cell r="B1177">
            <v>5664630</v>
          </cell>
        </row>
        <row r="1177">
          <cell r="D1177">
            <v>0</v>
          </cell>
          <cell r="E1177" t="str">
            <v>六角法兰面螺栓</v>
          </cell>
          <cell r="F1177">
            <v>2.06</v>
          </cell>
        </row>
        <row r="1178">
          <cell r="B1178">
            <v>3918153</v>
          </cell>
        </row>
        <row r="1178">
          <cell r="D1178" t="str">
            <v>ISF3.8</v>
          </cell>
          <cell r="E1178" t="str">
            <v>六角法兰面螺栓</v>
          </cell>
          <cell r="F1178">
            <v>1.97</v>
          </cell>
        </row>
        <row r="1179">
          <cell r="B1179">
            <v>3900679</v>
          </cell>
        </row>
        <row r="1179">
          <cell r="D1179" t="str">
            <v>ISF2.8/3.8</v>
          </cell>
          <cell r="E1179" t="str">
            <v>六角法兰面螺栓</v>
          </cell>
          <cell r="F1179">
            <v>3</v>
          </cell>
        </row>
        <row r="1180">
          <cell r="B1180">
            <v>5582654</v>
          </cell>
        </row>
        <row r="1180">
          <cell r="D1180">
            <v>0</v>
          </cell>
          <cell r="E1180" t="str">
            <v>六角法兰面螺栓</v>
          </cell>
          <cell r="F1180">
            <v>1.92</v>
          </cell>
        </row>
        <row r="1181">
          <cell r="B1181">
            <v>3093807</v>
          </cell>
        </row>
        <row r="1181">
          <cell r="D1181">
            <v>0</v>
          </cell>
          <cell r="E1181" t="str">
            <v>六角法兰面螺栓</v>
          </cell>
          <cell r="F1181">
            <v>2.94</v>
          </cell>
        </row>
        <row r="1182">
          <cell r="B1182">
            <v>4991495</v>
          </cell>
        </row>
        <row r="1182">
          <cell r="D1182" t="str">
            <v>ISF3.8</v>
          </cell>
          <cell r="E1182" t="str">
            <v>六角法兰面螺栓</v>
          </cell>
          <cell r="F1182">
            <v>2.88</v>
          </cell>
        </row>
        <row r="1183">
          <cell r="B1183">
            <v>3913034</v>
          </cell>
        </row>
        <row r="1183">
          <cell r="D1183" t="str">
            <v>ISF3.8</v>
          </cell>
          <cell r="E1183" t="str">
            <v>六角法兰面螺栓</v>
          </cell>
          <cell r="F1183">
            <v>2.84</v>
          </cell>
        </row>
        <row r="1184">
          <cell r="B1184">
            <v>4898483</v>
          </cell>
        </row>
        <row r="1184">
          <cell r="D1184">
            <v>0</v>
          </cell>
          <cell r="E1184" t="str">
            <v>六角法兰面螺栓</v>
          </cell>
          <cell r="F1184">
            <v>2.3</v>
          </cell>
        </row>
        <row r="1185">
          <cell r="B1185">
            <v>3093931</v>
          </cell>
        </row>
        <row r="1185">
          <cell r="D1185">
            <v>0</v>
          </cell>
          <cell r="E1185" t="str">
            <v>六角法兰面螺栓</v>
          </cell>
          <cell r="F1185">
            <v>2.6</v>
          </cell>
        </row>
        <row r="1186">
          <cell r="B1186">
            <v>3280899</v>
          </cell>
        </row>
        <row r="1186">
          <cell r="D1186">
            <v>0</v>
          </cell>
          <cell r="E1186" t="str">
            <v>六角法兰面螺栓</v>
          </cell>
          <cell r="F1186">
            <v>1.59</v>
          </cell>
        </row>
        <row r="1187">
          <cell r="B1187">
            <v>5623126</v>
          </cell>
        </row>
        <row r="1187">
          <cell r="D1187" t="str">
            <v>ISF2.8</v>
          </cell>
          <cell r="E1187" t="str">
            <v>六角法兰面螺栓</v>
          </cell>
          <cell r="F1187">
            <v>1.57</v>
          </cell>
        </row>
        <row r="1188">
          <cell r="B1188">
            <v>3093932</v>
          </cell>
        </row>
        <row r="1188">
          <cell r="D1188">
            <v>0</v>
          </cell>
          <cell r="E1188" t="str">
            <v>六角法兰面螺栓</v>
          </cell>
          <cell r="F1188">
            <v>2.44</v>
          </cell>
        </row>
        <row r="1189">
          <cell r="B1189">
            <v>3910495</v>
          </cell>
        </row>
        <row r="1189">
          <cell r="D1189" t="str">
            <v>ISF3.8</v>
          </cell>
          <cell r="E1189" t="str">
            <v>六角法兰面螺栓</v>
          </cell>
          <cell r="F1189">
            <v>2.42</v>
          </cell>
        </row>
        <row r="1190">
          <cell r="B1190">
            <v>5270034</v>
          </cell>
        </row>
        <row r="1190">
          <cell r="D1190">
            <v>0</v>
          </cell>
          <cell r="E1190" t="str">
            <v>六角法兰面螺栓</v>
          </cell>
          <cell r="F1190">
            <v>1.47</v>
          </cell>
        </row>
        <row r="1191">
          <cell r="B1191">
            <v>3932222</v>
          </cell>
        </row>
        <row r="1191">
          <cell r="D1191" t="str">
            <v>ISF2.8</v>
          </cell>
          <cell r="E1191" t="str">
            <v>六角法兰面螺栓</v>
          </cell>
          <cell r="F1191">
            <v>1.42</v>
          </cell>
        </row>
        <row r="1192">
          <cell r="B1192">
            <v>5714869</v>
          </cell>
        </row>
        <row r="1192">
          <cell r="D1192" t="str">
            <v>ISF2.8</v>
          </cell>
          <cell r="E1192" t="str">
            <v>六角法兰面螺栓</v>
          </cell>
          <cell r="F1192">
            <v>2.22</v>
          </cell>
        </row>
        <row r="1193">
          <cell r="B1193">
            <v>5342043</v>
          </cell>
        </row>
        <row r="1193">
          <cell r="D1193" t="str">
            <v>ISF2.8</v>
          </cell>
          <cell r="E1193" t="str">
            <v>六角法兰面螺栓</v>
          </cell>
          <cell r="F1193">
            <v>1.39</v>
          </cell>
        </row>
        <row r="1194">
          <cell r="B1194">
            <v>3900635</v>
          </cell>
        </row>
        <row r="1194">
          <cell r="D1194">
            <v>0</v>
          </cell>
          <cell r="E1194" t="str">
            <v>六角法兰面螺栓</v>
          </cell>
          <cell r="F1194">
            <v>1.98</v>
          </cell>
        </row>
        <row r="1195">
          <cell r="B1195">
            <v>3093826</v>
          </cell>
        </row>
        <row r="1195">
          <cell r="D1195" t="str">
            <v>ISF2.8</v>
          </cell>
          <cell r="E1195" t="str">
            <v>六角法兰面螺栓</v>
          </cell>
          <cell r="F1195">
            <v>1.88</v>
          </cell>
        </row>
        <row r="1196">
          <cell r="B1196">
            <v>3102651</v>
          </cell>
        </row>
        <row r="1196">
          <cell r="D1196" t="str">
            <v>ISF2.8</v>
          </cell>
          <cell r="E1196" t="str">
            <v>六角法兰面螺栓</v>
          </cell>
          <cell r="F1196">
            <v>1.88</v>
          </cell>
        </row>
        <row r="1197">
          <cell r="B1197">
            <v>3093957</v>
          </cell>
        </row>
        <row r="1197">
          <cell r="D1197">
            <v>0</v>
          </cell>
          <cell r="E1197" t="str">
            <v>六角法兰面螺栓</v>
          </cell>
          <cell r="F1197">
            <v>1.2</v>
          </cell>
        </row>
        <row r="1198">
          <cell r="B1198">
            <v>3903464</v>
          </cell>
        </row>
        <row r="1198">
          <cell r="D1198" t="str">
            <v>ISF3.8</v>
          </cell>
          <cell r="E1198" t="str">
            <v>六角法兰面螺栓</v>
          </cell>
          <cell r="F1198">
            <v>1.86</v>
          </cell>
        </row>
        <row r="1199">
          <cell r="B1199">
            <v>5309072</v>
          </cell>
        </row>
        <row r="1199">
          <cell r="D1199">
            <v>0</v>
          </cell>
          <cell r="E1199" t="str">
            <v>六角法兰面螺栓</v>
          </cell>
          <cell r="F1199">
            <v>1.15</v>
          </cell>
        </row>
        <row r="1200">
          <cell r="B1200">
            <v>5337660</v>
          </cell>
        </row>
        <row r="1200">
          <cell r="D1200" t="str">
            <v>ISF2.8</v>
          </cell>
          <cell r="E1200" t="str">
            <v>六角法兰面螺栓</v>
          </cell>
          <cell r="F1200">
            <v>1.15</v>
          </cell>
        </row>
        <row r="1201">
          <cell r="B1201">
            <v>4903110</v>
          </cell>
        </row>
        <row r="1201">
          <cell r="D1201" t="str">
            <v>ISF3.8</v>
          </cell>
          <cell r="E1201" t="str">
            <v>六角法兰面螺栓</v>
          </cell>
          <cell r="F1201">
            <v>1.05</v>
          </cell>
        </row>
        <row r="1202">
          <cell r="B1202">
            <v>3093775</v>
          </cell>
        </row>
        <row r="1202">
          <cell r="D1202" t="str">
            <v>ISF2.8</v>
          </cell>
          <cell r="E1202" t="str">
            <v>六角法兰面螺栓</v>
          </cell>
          <cell r="F1202">
            <v>1.5</v>
          </cell>
        </row>
        <row r="1203">
          <cell r="B1203">
            <v>3901937</v>
          </cell>
        </row>
        <row r="1203">
          <cell r="D1203">
            <v>0</v>
          </cell>
          <cell r="E1203" t="str">
            <v>六角法兰面螺栓</v>
          </cell>
          <cell r="F1203">
            <v>1</v>
          </cell>
        </row>
        <row r="1204">
          <cell r="B1204">
            <v>3902023</v>
          </cell>
        </row>
        <row r="1204">
          <cell r="D1204" t="str">
            <v>ISF2.8/3.8</v>
          </cell>
          <cell r="E1204" t="str">
            <v>六角法兰面螺栓</v>
          </cell>
          <cell r="F1204">
            <v>1.26</v>
          </cell>
        </row>
        <row r="1205">
          <cell r="B1205">
            <v>3925883</v>
          </cell>
        </row>
        <row r="1205">
          <cell r="D1205" t="str">
            <v>ISF3.8</v>
          </cell>
          <cell r="E1205" t="str">
            <v>六角法兰面螺栓</v>
          </cell>
          <cell r="F1205">
            <v>0.93</v>
          </cell>
        </row>
        <row r="1206">
          <cell r="B1206">
            <v>5337661</v>
          </cell>
        </row>
        <row r="1206">
          <cell r="D1206">
            <v>0</v>
          </cell>
          <cell r="E1206" t="str">
            <v>六角法兰面螺栓</v>
          </cell>
          <cell r="F1206">
            <v>0.92</v>
          </cell>
        </row>
        <row r="1207">
          <cell r="B1207">
            <v>5337659</v>
          </cell>
        </row>
        <row r="1207">
          <cell r="D1207">
            <v>0</v>
          </cell>
          <cell r="E1207" t="str">
            <v>六角法兰面螺栓</v>
          </cell>
          <cell r="F1207">
            <v>0.89</v>
          </cell>
        </row>
        <row r="1208">
          <cell r="B1208">
            <v>3900632</v>
          </cell>
        </row>
        <row r="1208">
          <cell r="D1208" t="str">
            <v>ISF2.8/3.8</v>
          </cell>
          <cell r="E1208" t="str">
            <v>六角法兰面螺栓</v>
          </cell>
          <cell r="F1208">
            <v>1.38</v>
          </cell>
        </row>
        <row r="1209">
          <cell r="B1209">
            <v>3694071</v>
          </cell>
        </row>
        <row r="1209">
          <cell r="D1209">
            <v>0</v>
          </cell>
          <cell r="E1209" t="str">
            <v>六角法兰面螺栓</v>
          </cell>
          <cell r="F1209">
            <v>1.38</v>
          </cell>
        </row>
        <row r="1210">
          <cell r="B1210">
            <v>3093805</v>
          </cell>
        </row>
        <row r="1210">
          <cell r="D1210">
            <v>0</v>
          </cell>
          <cell r="E1210" t="str">
            <v>六角法兰面螺栓</v>
          </cell>
          <cell r="F1210">
            <v>0.86</v>
          </cell>
        </row>
        <row r="1211">
          <cell r="B1211">
            <v>4893517</v>
          </cell>
        </row>
        <row r="1211">
          <cell r="D1211" t="str">
            <v>ISF2.8</v>
          </cell>
          <cell r="E1211" t="str">
            <v>六角法兰面螺栓</v>
          </cell>
          <cell r="F1211">
            <v>1.34</v>
          </cell>
        </row>
        <row r="1212">
          <cell r="B1212">
            <v>3901249</v>
          </cell>
        </row>
        <row r="1212">
          <cell r="D1212" t="str">
            <v>ISF3.8</v>
          </cell>
          <cell r="E1212" t="str">
            <v>六角法兰面螺栓</v>
          </cell>
          <cell r="F1212">
            <v>1.32</v>
          </cell>
        </row>
        <row r="1213">
          <cell r="B1213">
            <v>3901446</v>
          </cell>
        </row>
        <row r="1213">
          <cell r="D1213">
            <v>0</v>
          </cell>
          <cell r="E1213" t="str">
            <v>六角法兰面螺栓</v>
          </cell>
          <cell r="F1213">
            <v>1.3</v>
          </cell>
        </row>
        <row r="1214">
          <cell r="B1214">
            <v>3093923</v>
          </cell>
        </row>
        <row r="1214">
          <cell r="D1214">
            <v>0</v>
          </cell>
          <cell r="E1214" t="str">
            <v>六角法兰面螺栓</v>
          </cell>
          <cell r="F1214">
            <v>1.28</v>
          </cell>
        </row>
        <row r="1215">
          <cell r="B1215">
            <v>3927220</v>
          </cell>
        </row>
        <row r="1215">
          <cell r="D1215" t="str">
            <v>ISF2.8</v>
          </cell>
          <cell r="E1215" t="str">
            <v>六角法兰面螺栓</v>
          </cell>
          <cell r="F1215">
            <v>1.22</v>
          </cell>
        </row>
        <row r="1216">
          <cell r="B1216">
            <v>3901445</v>
          </cell>
        </row>
        <row r="1216">
          <cell r="D1216" t="str">
            <v>ISF3.8</v>
          </cell>
          <cell r="E1216" t="str">
            <v>六角法兰面螺栓</v>
          </cell>
          <cell r="F1216">
            <v>1.2</v>
          </cell>
        </row>
        <row r="1217">
          <cell r="B1217">
            <v>3900678</v>
          </cell>
        </row>
        <row r="1217">
          <cell r="D1217" t="str">
            <v>ISF2.8/3.8</v>
          </cell>
          <cell r="E1217" t="str">
            <v>六角法兰面螺栓</v>
          </cell>
          <cell r="F1217">
            <v>1.2</v>
          </cell>
        </row>
        <row r="1218">
          <cell r="B1218">
            <v>3903112</v>
          </cell>
        </row>
        <row r="1218">
          <cell r="D1218" t="str">
            <v>ISF3.8</v>
          </cell>
          <cell r="E1218" t="str">
            <v>六角法兰面螺栓</v>
          </cell>
          <cell r="F1218">
            <v>1.2</v>
          </cell>
        </row>
        <row r="1219">
          <cell r="B1219">
            <v>5377766</v>
          </cell>
        </row>
        <row r="1219">
          <cell r="D1219">
            <v>0</v>
          </cell>
          <cell r="E1219" t="str">
            <v>六角法兰面螺栓</v>
          </cell>
          <cell r="F1219">
            <v>0.68</v>
          </cell>
        </row>
        <row r="1220">
          <cell r="B1220">
            <v>3093956</v>
          </cell>
        </row>
        <row r="1220">
          <cell r="D1220">
            <v>0</v>
          </cell>
          <cell r="E1220" t="str">
            <v>六角法兰面螺栓</v>
          </cell>
          <cell r="F1220">
            <v>1.02</v>
          </cell>
        </row>
        <row r="1221">
          <cell r="B1221">
            <v>3902114</v>
          </cell>
        </row>
        <row r="1221">
          <cell r="D1221" t="str">
            <v>ISF2.8/3.8</v>
          </cell>
          <cell r="E1221" t="str">
            <v>六角法兰面螺栓</v>
          </cell>
          <cell r="F1221">
            <v>0.8</v>
          </cell>
        </row>
        <row r="1222">
          <cell r="B1222">
            <v>5619495</v>
          </cell>
        </row>
        <row r="1222">
          <cell r="D1222" t="str">
            <v>ISF2.8</v>
          </cell>
          <cell r="E1222" t="str">
            <v>六角法兰面螺栓</v>
          </cell>
          <cell r="F1222">
            <v>0.64</v>
          </cell>
        </row>
        <row r="1223">
          <cell r="B1223">
            <v>2830411</v>
          </cell>
        </row>
        <row r="1223">
          <cell r="D1223" t="str">
            <v>ISF3.8</v>
          </cell>
          <cell r="E1223" t="str">
            <v>六角法兰面螺栓</v>
          </cell>
          <cell r="F1223">
            <v>0.94</v>
          </cell>
        </row>
        <row r="1224">
          <cell r="B1224">
            <v>3698430</v>
          </cell>
        </row>
        <row r="1224">
          <cell r="D1224">
            <v>0</v>
          </cell>
          <cell r="E1224" t="str">
            <v>六角法兰面螺栓</v>
          </cell>
          <cell r="F1224">
            <v>0.61</v>
          </cell>
        </row>
        <row r="1225">
          <cell r="B1225">
            <v>3902460</v>
          </cell>
        </row>
        <row r="1225">
          <cell r="D1225" t="str">
            <v>ISF2.8/3.8</v>
          </cell>
          <cell r="E1225" t="str">
            <v>六角法兰面螺栓</v>
          </cell>
          <cell r="F1225">
            <v>0.88</v>
          </cell>
        </row>
        <row r="1226">
          <cell r="B1226">
            <v>3903990</v>
          </cell>
        </row>
        <row r="1226">
          <cell r="D1226" t="str">
            <v>ISF2.8/3.8/ISG</v>
          </cell>
          <cell r="E1226" t="str">
            <v>六角法兰面螺栓</v>
          </cell>
          <cell r="F1226">
            <v>0.84</v>
          </cell>
        </row>
        <row r="1227">
          <cell r="B1227">
            <v>3900629</v>
          </cell>
        </row>
        <row r="1227">
          <cell r="D1227" t="str">
            <v>ISF2.8/3.8</v>
          </cell>
          <cell r="E1227" t="str">
            <v>六角法兰面螺栓</v>
          </cell>
          <cell r="F1227">
            <v>0.8</v>
          </cell>
        </row>
        <row r="1228">
          <cell r="B1228">
            <v>3900626</v>
          </cell>
        </row>
        <row r="1228">
          <cell r="D1228" t="str">
            <v>ISF2.8</v>
          </cell>
          <cell r="E1228" t="str">
            <v>六角法兰面螺栓</v>
          </cell>
          <cell r="F1228">
            <v>0.49</v>
          </cell>
        </row>
        <row r="1229">
          <cell r="B1229">
            <v>3900631</v>
          </cell>
        </row>
        <row r="1229">
          <cell r="D1229" t="str">
            <v>ISF2.8/3.8</v>
          </cell>
          <cell r="E1229" t="str">
            <v>六角法兰面螺栓</v>
          </cell>
          <cell r="F1229">
            <v>0.66</v>
          </cell>
        </row>
        <row r="1230">
          <cell r="B1230">
            <v>3093730</v>
          </cell>
        </row>
        <row r="1230">
          <cell r="D1230" t="str">
            <v>ISF3.8</v>
          </cell>
          <cell r="E1230" t="str">
            <v>六角法兰面螺栓</v>
          </cell>
          <cell r="F1230">
            <v>0.62</v>
          </cell>
        </row>
        <row r="1231">
          <cell r="B1231">
            <v>3900627</v>
          </cell>
        </row>
        <row r="1231">
          <cell r="D1231" t="str">
            <v>ISF2.8/3.8</v>
          </cell>
          <cell r="E1231" t="str">
            <v>六角法兰面螺栓</v>
          </cell>
          <cell r="F1231">
            <v>0.56</v>
          </cell>
        </row>
        <row r="1232">
          <cell r="B1232">
            <v>3397506</v>
          </cell>
        </row>
        <row r="1232">
          <cell r="D1232" t="str">
            <v>ISF3.8</v>
          </cell>
          <cell r="E1232" t="str">
            <v>六角法兰面螺栓</v>
          </cell>
          <cell r="F1232">
            <v>0.54</v>
          </cell>
        </row>
        <row r="1233">
          <cell r="B1233">
            <v>3901865</v>
          </cell>
        </row>
        <row r="1233">
          <cell r="D1233" t="str">
            <v>ISF2.8/3.8</v>
          </cell>
          <cell r="E1233" t="str">
            <v>ISF2.8/3.8</v>
          </cell>
          <cell r="F1233">
            <v>0.54</v>
          </cell>
        </row>
        <row r="1234">
          <cell r="B1234">
            <v>3913638</v>
          </cell>
        </row>
        <row r="1234">
          <cell r="D1234" t="str">
            <v>ISF2.8/3.8</v>
          </cell>
          <cell r="E1234" t="str">
            <v>六角法兰面螺栓</v>
          </cell>
          <cell r="F1234">
            <v>0.54</v>
          </cell>
        </row>
        <row r="1235">
          <cell r="B1235">
            <v>3900630</v>
          </cell>
        </row>
        <row r="1235">
          <cell r="D1235" t="str">
            <v>ISF2.8/3.8</v>
          </cell>
          <cell r="E1235" t="str">
            <v>六角法兰面螺栓</v>
          </cell>
          <cell r="F1235">
            <v>0.46</v>
          </cell>
        </row>
        <row r="1236">
          <cell r="B1236">
            <v>3900625</v>
          </cell>
        </row>
        <row r="1236">
          <cell r="D1236" t="str">
            <v>ISF2.8</v>
          </cell>
          <cell r="E1236" t="str">
            <v>六角法兰面螺栓</v>
          </cell>
          <cell r="F1236">
            <v>0.4</v>
          </cell>
        </row>
        <row r="1237">
          <cell r="B1237">
            <v>3679118</v>
          </cell>
        </row>
        <row r="1237">
          <cell r="D1237" t="str">
            <v>ISF2.8/3.8</v>
          </cell>
          <cell r="E1237" t="str">
            <v>六角法兰面螺栓</v>
          </cell>
          <cell r="F1237">
            <v>0.38</v>
          </cell>
        </row>
        <row r="1238">
          <cell r="B1238">
            <v>3929777</v>
          </cell>
        </row>
        <row r="1238">
          <cell r="D1238" t="str">
            <v>ISF2.8</v>
          </cell>
          <cell r="E1238" t="str">
            <v>六角法兰面螺母</v>
          </cell>
          <cell r="F1238">
            <v>15.04</v>
          </cell>
        </row>
        <row r="1239">
          <cell r="B1239">
            <v>5292656</v>
          </cell>
        </row>
        <row r="1239">
          <cell r="D1239">
            <v>0</v>
          </cell>
          <cell r="E1239" t="str">
            <v>六角法兰面螺母</v>
          </cell>
          <cell r="F1239">
            <v>4.38</v>
          </cell>
        </row>
        <row r="1240">
          <cell r="B1240">
            <v>3682798</v>
          </cell>
        </row>
        <row r="1240">
          <cell r="D1240" t="str">
            <v>ISF2.8</v>
          </cell>
          <cell r="E1240" t="str">
            <v>六角法兰面螺母</v>
          </cell>
          <cell r="F1240">
            <v>3.42</v>
          </cell>
        </row>
        <row r="1241">
          <cell r="B1241">
            <v>3093828</v>
          </cell>
        </row>
        <row r="1241">
          <cell r="D1241">
            <v>0</v>
          </cell>
          <cell r="E1241" t="str">
            <v>六角法兰面螺母</v>
          </cell>
          <cell r="F1241">
            <v>1.64</v>
          </cell>
        </row>
        <row r="1242">
          <cell r="B1242">
            <v>3279043</v>
          </cell>
        </row>
        <row r="1242">
          <cell r="D1242" t="str">
            <v>ISF3.8</v>
          </cell>
          <cell r="E1242" t="str">
            <v>六角法兰面螺母</v>
          </cell>
          <cell r="F1242">
            <v>1.5</v>
          </cell>
        </row>
        <row r="1243">
          <cell r="B1243">
            <v>3900589</v>
          </cell>
        </row>
        <row r="1243">
          <cell r="D1243" t="str">
            <v>ISF2.8/3.8</v>
          </cell>
          <cell r="E1243" t="str">
            <v>六角法兰面螺母</v>
          </cell>
          <cell r="F1243">
            <v>0.54</v>
          </cell>
        </row>
        <row r="1244">
          <cell r="B1244">
            <v>3906216</v>
          </cell>
        </row>
        <row r="1244">
          <cell r="D1244" t="str">
            <v>ISF2.8/3.8</v>
          </cell>
          <cell r="E1244" t="str">
            <v>六角法兰面螺母</v>
          </cell>
          <cell r="F1244">
            <v>0.5</v>
          </cell>
        </row>
        <row r="1245">
          <cell r="B1245">
            <v>5727075</v>
          </cell>
        </row>
        <row r="1245">
          <cell r="D1245">
            <v>0</v>
          </cell>
          <cell r="E1245" t="str">
            <v>六角法兰螺母</v>
          </cell>
          <cell r="F1245">
            <v>4.91</v>
          </cell>
        </row>
        <row r="1246">
          <cell r="B1246">
            <v>5727074</v>
          </cell>
        </row>
        <row r="1246">
          <cell r="D1246">
            <v>0</v>
          </cell>
          <cell r="E1246" t="str">
            <v>六角法兰螺母</v>
          </cell>
          <cell r="F1246">
            <v>4.37</v>
          </cell>
        </row>
        <row r="1247">
          <cell r="B1247">
            <v>2872520</v>
          </cell>
        </row>
        <row r="1247">
          <cell r="D1247" t="str">
            <v>ISF2.8</v>
          </cell>
          <cell r="E1247" t="str">
            <v>流量传感器</v>
          </cell>
          <cell r="F1247">
            <v>516.2985</v>
          </cell>
        </row>
        <row r="1248">
          <cell r="B1248">
            <v>4984760</v>
          </cell>
        </row>
        <row r="1248">
          <cell r="D1248" t="str">
            <v>ISF2.8</v>
          </cell>
          <cell r="E1248" t="str">
            <v>流量传感器</v>
          </cell>
          <cell r="F1248">
            <v>439.8444</v>
          </cell>
        </row>
        <row r="1249">
          <cell r="B1249">
            <v>2865048</v>
          </cell>
        </row>
        <row r="1249">
          <cell r="D1249">
            <v>0</v>
          </cell>
          <cell r="E1249" t="str">
            <v>菱形密封圈</v>
          </cell>
          <cell r="F1249">
            <v>16.82</v>
          </cell>
        </row>
        <row r="1250">
          <cell r="B1250">
            <v>5521783</v>
          </cell>
        </row>
        <row r="1250">
          <cell r="D1250" t="str">
            <v>ISF2.8</v>
          </cell>
          <cell r="E1250" t="str">
            <v>链条涨紧器杆</v>
          </cell>
          <cell r="F1250">
            <v>19.062</v>
          </cell>
        </row>
        <row r="1251">
          <cell r="B1251">
            <v>5521784</v>
          </cell>
        </row>
        <row r="1251">
          <cell r="D1251" t="str">
            <v>ISF2.8</v>
          </cell>
          <cell r="E1251" t="str">
            <v>链条涨紧器杆</v>
          </cell>
          <cell r="F1251">
            <v>19.19</v>
          </cell>
        </row>
        <row r="1252">
          <cell r="B1252">
            <v>5267974</v>
          </cell>
        </row>
        <row r="1252">
          <cell r="D1252" t="str">
            <v>ISF2.8</v>
          </cell>
          <cell r="E1252" t="str">
            <v>链条涨紧器</v>
          </cell>
          <cell r="F1252">
            <v>65.65</v>
          </cell>
        </row>
        <row r="1253">
          <cell r="B1253">
            <v>5591101</v>
          </cell>
          <cell r="C1253">
            <v>5567411</v>
          </cell>
          <cell r="D1253" t="str">
            <v>ISF2.8</v>
          </cell>
          <cell r="E1253" t="str">
            <v>链条涨紧器</v>
          </cell>
          <cell r="F1253">
            <v>58.47</v>
          </cell>
        </row>
        <row r="1254">
          <cell r="B1254">
            <v>5521781</v>
          </cell>
        </row>
        <row r="1254">
          <cell r="D1254" t="str">
            <v>ISF2.8</v>
          </cell>
          <cell r="E1254" t="str">
            <v>链条涨紧器</v>
          </cell>
          <cell r="F1254">
            <v>53.22</v>
          </cell>
        </row>
        <row r="1255">
          <cell r="B1255">
            <v>5567410</v>
          </cell>
        </row>
        <row r="1255">
          <cell r="D1255" t="str">
            <v>ISF2.8</v>
          </cell>
          <cell r="E1255" t="str">
            <v>链条导向器</v>
          </cell>
          <cell r="F1255">
            <v>25.6734</v>
          </cell>
        </row>
        <row r="1256">
          <cell r="B1256">
            <v>5267973</v>
          </cell>
          <cell r="C1256">
            <v>5262516</v>
          </cell>
          <cell r="D1256" t="str">
            <v>ISF2.8</v>
          </cell>
          <cell r="E1256" t="str">
            <v>链条导向器</v>
          </cell>
          <cell r="F1256">
            <v>14.85</v>
          </cell>
        </row>
        <row r="1257">
          <cell r="B1257">
            <v>5521785</v>
          </cell>
        </row>
        <row r="1257">
          <cell r="D1257" t="str">
            <v>ISF2.8</v>
          </cell>
          <cell r="E1257" t="str">
            <v>链条导向器</v>
          </cell>
          <cell r="F1257">
            <v>11.96</v>
          </cell>
        </row>
        <row r="1258">
          <cell r="B1258">
            <v>5259767</v>
          </cell>
        </row>
        <row r="1258">
          <cell r="D1258" t="str">
            <v>ISF2.8</v>
          </cell>
          <cell r="E1258" t="str">
            <v>链条导向器</v>
          </cell>
          <cell r="F1258">
            <v>11.8</v>
          </cell>
        </row>
        <row r="1259">
          <cell r="B1259">
            <v>5521780</v>
          </cell>
        </row>
        <row r="1259">
          <cell r="D1259" t="str">
            <v>ISF2.8</v>
          </cell>
          <cell r="E1259" t="str">
            <v>链条</v>
          </cell>
          <cell r="F1259">
            <v>90.54</v>
          </cell>
        </row>
        <row r="1260">
          <cell r="B1260">
            <v>4982040</v>
          </cell>
        </row>
        <row r="1260">
          <cell r="D1260" t="str">
            <v>ISF2.8</v>
          </cell>
          <cell r="E1260" t="str">
            <v>链条</v>
          </cell>
          <cell r="F1260">
            <v>118.2231</v>
          </cell>
        </row>
        <row r="1261">
          <cell r="B1261">
            <v>5521787</v>
          </cell>
        </row>
        <row r="1261">
          <cell r="D1261" t="str">
            <v>ISF2.8</v>
          </cell>
          <cell r="E1261" t="str">
            <v>链条</v>
          </cell>
          <cell r="F1261">
            <v>110.8791</v>
          </cell>
        </row>
        <row r="1262">
          <cell r="B1262">
            <v>5263530</v>
          </cell>
        </row>
        <row r="1262">
          <cell r="D1262" t="str">
            <v>ISF2.8</v>
          </cell>
          <cell r="E1262" t="str">
            <v>链传动罩盖密封件</v>
          </cell>
          <cell r="F1262">
            <v>18.74</v>
          </cell>
        </row>
        <row r="1263">
          <cell r="B1263">
            <v>5363383</v>
          </cell>
        </row>
        <row r="1263">
          <cell r="D1263" t="str">
            <v>ISF2.8</v>
          </cell>
          <cell r="E1263" t="str">
            <v>链传动罩盖</v>
          </cell>
          <cell r="F1263">
            <v>82.5</v>
          </cell>
        </row>
        <row r="1264">
          <cell r="B1264">
            <v>5264443</v>
          </cell>
        </row>
        <row r="1264">
          <cell r="D1264" t="str">
            <v>ISF2.8</v>
          </cell>
          <cell r="E1264" t="str">
            <v>链传动罩盖</v>
          </cell>
          <cell r="F1264">
            <v>71.0379</v>
          </cell>
        </row>
        <row r="1265">
          <cell r="B1265">
            <v>5614255</v>
          </cell>
        </row>
        <row r="1265">
          <cell r="D1265">
            <v>0</v>
          </cell>
          <cell r="E1265" t="str">
            <v>连接支架</v>
          </cell>
          <cell r="F1265">
            <v>123.7005</v>
          </cell>
        </row>
        <row r="1266">
          <cell r="B1266">
            <v>5661591</v>
          </cell>
        </row>
        <row r="1266">
          <cell r="D1266">
            <v>0</v>
          </cell>
          <cell r="E1266" t="str">
            <v>连接支架</v>
          </cell>
          <cell r="F1266">
            <v>83.94</v>
          </cell>
        </row>
        <row r="1267">
          <cell r="B1267">
            <v>5371012</v>
          </cell>
        </row>
        <row r="1267">
          <cell r="D1267">
            <v>0</v>
          </cell>
          <cell r="E1267" t="str">
            <v>连接支架</v>
          </cell>
          <cell r="F1267">
            <v>51.64</v>
          </cell>
        </row>
        <row r="1268">
          <cell r="B1268">
            <v>5664329</v>
          </cell>
        </row>
        <row r="1268">
          <cell r="D1268">
            <v>0</v>
          </cell>
          <cell r="E1268" t="str">
            <v>连接支架</v>
          </cell>
          <cell r="F1268">
            <v>35.8479</v>
          </cell>
        </row>
        <row r="1269">
          <cell r="B1269">
            <v>5575439</v>
          </cell>
        </row>
        <row r="1269">
          <cell r="D1269">
            <v>0</v>
          </cell>
          <cell r="E1269" t="str">
            <v>连接支架</v>
          </cell>
          <cell r="F1269">
            <v>22.37</v>
          </cell>
        </row>
        <row r="1270">
          <cell r="B1270">
            <v>5523622</v>
          </cell>
        </row>
        <row r="1270">
          <cell r="D1270">
            <v>0</v>
          </cell>
          <cell r="E1270" t="str">
            <v>连接支架</v>
          </cell>
          <cell r="F1270">
            <v>14.72</v>
          </cell>
        </row>
        <row r="1271">
          <cell r="B1271">
            <v>5587483</v>
          </cell>
        </row>
        <row r="1271">
          <cell r="D1271" t="str">
            <v>ISF2.8</v>
          </cell>
          <cell r="E1271" t="str">
            <v>连接支架</v>
          </cell>
          <cell r="F1271">
            <v>13.62</v>
          </cell>
        </row>
        <row r="1272">
          <cell r="B1272">
            <v>5587603</v>
          </cell>
        </row>
        <row r="1272">
          <cell r="D1272">
            <v>0</v>
          </cell>
          <cell r="E1272" t="str">
            <v>连接支架</v>
          </cell>
          <cell r="F1272">
            <v>10.18</v>
          </cell>
        </row>
        <row r="1273">
          <cell r="B1273">
            <v>5526169</v>
          </cell>
        </row>
        <row r="1273">
          <cell r="D1273">
            <v>0</v>
          </cell>
          <cell r="E1273" t="str">
            <v>连接支架</v>
          </cell>
          <cell r="F1273">
            <v>8.26</v>
          </cell>
        </row>
        <row r="1274">
          <cell r="B1274">
            <v>5263385</v>
          </cell>
        </row>
        <row r="1274">
          <cell r="D1274">
            <v>0</v>
          </cell>
          <cell r="E1274" t="str">
            <v>连接支架</v>
          </cell>
          <cell r="F1274">
            <v>10.14</v>
          </cell>
        </row>
        <row r="1275">
          <cell r="B1275">
            <v>5582252</v>
          </cell>
        </row>
        <row r="1275">
          <cell r="D1275">
            <v>0</v>
          </cell>
          <cell r="E1275" t="str">
            <v>连接支架</v>
          </cell>
          <cell r="F1275">
            <v>6.91</v>
          </cell>
        </row>
        <row r="1276">
          <cell r="B1276">
            <v>5343117</v>
          </cell>
        </row>
        <row r="1276">
          <cell r="D1276" t="str">
            <v>ISF3.8</v>
          </cell>
          <cell r="E1276" t="str">
            <v>连接支架</v>
          </cell>
          <cell r="F1276">
            <v>5.8</v>
          </cell>
        </row>
        <row r="1277">
          <cell r="B1277">
            <v>4990045</v>
          </cell>
        </row>
        <row r="1277">
          <cell r="D1277" t="str">
            <v>ISF2.8/3.8</v>
          </cell>
          <cell r="E1277" t="str">
            <v>连接密封垫</v>
          </cell>
          <cell r="F1277">
            <v>18.954</v>
          </cell>
        </row>
        <row r="1278">
          <cell r="B1278">
            <v>5273045</v>
          </cell>
        </row>
        <row r="1278">
          <cell r="D1278">
            <v>0</v>
          </cell>
          <cell r="E1278" t="str">
            <v>连接密封垫</v>
          </cell>
          <cell r="F1278">
            <v>17.91</v>
          </cell>
        </row>
        <row r="1279">
          <cell r="B1279">
            <v>3695524</v>
          </cell>
        </row>
        <row r="1279">
          <cell r="D1279" t="str">
            <v>ISG</v>
          </cell>
          <cell r="E1279" t="str">
            <v>连接密封垫</v>
          </cell>
          <cell r="F1279">
            <v>16.9983</v>
          </cell>
        </row>
        <row r="1280">
          <cell r="B1280">
            <v>4992913</v>
          </cell>
        </row>
        <row r="1280">
          <cell r="D1280">
            <v>0</v>
          </cell>
          <cell r="E1280" t="str">
            <v>连接密封垫</v>
          </cell>
          <cell r="F1280">
            <v>11.35</v>
          </cell>
        </row>
        <row r="1281">
          <cell r="B1281">
            <v>4932615</v>
          </cell>
        </row>
        <row r="1281">
          <cell r="D1281">
            <v>0</v>
          </cell>
          <cell r="E1281" t="str">
            <v>连接密封垫</v>
          </cell>
          <cell r="F1281">
            <v>6.26</v>
          </cell>
        </row>
        <row r="1282">
          <cell r="B1282">
            <v>5310405</v>
          </cell>
        </row>
        <row r="1282">
          <cell r="D1282">
            <v>0</v>
          </cell>
          <cell r="E1282" t="str">
            <v>连接管</v>
          </cell>
          <cell r="F1282">
            <v>42.81</v>
          </cell>
        </row>
        <row r="1283">
          <cell r="B1283">
            <v>3695498</v>
          </cell>
        </row>
        <row r="1283">
          <cell r="D1283" t="str">
            <v>ISG</v>
          </cell>
          <cell r="E1283" t="str">
            <v>连杆轴瓦(下)</v>
          </cell>
          <cell r="F1283">
            <v>44.4501</v>
          </cell>
        </row>
        <row r="1284">
          <cell r="B1284">
            <v>5417291</v>
          </cell>
        </row>
        <row r="1284">
          <cell r="D1284" t="str">
            <v>ISG</v>
          </cell>
          <cell r="E1284" t="str">
            <v>连杆轴瓦(上)</v>
          </cell>
          <cell r="F1284">
            <v>44.4501</v>
          </cell>
        </row>
        <row r="1285">
          <cell r="B1285">
            <v>5344837</v>
          </cell>
        </row>
        <row r="1285">
          <cell r="D1285">
            <v>0</v>
          </cell>
          <cell r="E1285" t="str">
            <v>连杆轴瓦</v>
          </cell>
          <cell r="F1285">
            <v>34.9798</v>
          </cell>
        </row>
        <row r="1286">
          <cell r="B1286">
            <v>5348887</v>
          </cell>
          <cell r="C1286" t="str">
            <v>5284536/5261124</v>
          </cell>
          <cell r="D1286" t="str">
            <v>ISF2.8</v>
          </cell>
          <cell r="E1286" t="str">
            <v>连杆轴瓦</v>
          </cell>
          <cell r="F1286">
            <v>23.38</v>
          </cell>
        </row>
        <row r="1287">
          <cell r="B1287">
            <v>4893693</v>
          </cell>
        </row>
        <row r="1287">
          <cell r="D1287">
            <v>0</v>
          </cell>
          <cell r="E1287" t="str">
            <v>连杆轴瓦</v>
          </cell>
          <cell r="F1287">
            <v>15.5</v>
          </cell>
        </row>
        <row r="1288">
          <cell r="B1288">
            <v>4948508</v>
          </cell>
        </row>
        <row r="1288">
          <cell r="D1288" t="str">
            <v>ISF3.8</v>
          </cell>
          <cell r="E1288" t="str">
            <v>连杆轴瓦</v>
          </cell>
          <cell r="F1288">
            <v>10.41</v>
          </cell>
        </row>
        <row r="1289">
          <cell r="B1289">
            <v>5340182</v>
          </cell>
          <cell r="C1289" t="str">
            <v>5284537/5261125</v>
          </cell>
          <cell r="D1289" t="str">
            <v>ISF2.8</v>
          </cell>
          <cell r="E1289" t="str">
            <v>连杆轴瓦</v>
          </cell>
          <cell r="F1289">
            <v>8.99</v>
          </cell>
        </row>
        <row r="1290">
          <cell r="B1290">
            <v>4948509</v>
          </cell>
        </row>
        <row r="1290">
          <cell r="D1290" t="str">
            <v>ISF3.8</v>
          </cell>
          <cell r="E1290" t="str">
            <v>连杆轴瓦</v>
          </cell>
          <cell r="F1290">
            <v>7.29</v>
          </cell>
        </row>
        <row r="1291">
          <cell r="B1291">
            <v>3695503</v>
          </cell>
        </row>
        <row r="1291">
          <cell r="D1291">
            <v>0</v>
          </cell>
          <cell r="E1291" t="str">
            <v>连杆螺栓</v>
          </cell>
          <cell r="F1291">
            <v>21.0222</v>
          </cell>
        </row>
        <row r="1292">
          <cell r="B1292">
            <v>5263944</v>
          </cell>
        </row>
        <row r="1292">
          <cell r="D1292">
            <v>0</v>
          </cell>
          <cell r="E1292" t="str">
            <v>连杆螺栓</v>
          </cell>
          <cell r="F1292">
            <v>8.72</v>
          </cell>
        </row>
        <row r="1293">
          <cell r="B1293">
            <v>4891179</v>
          </cell>
        </row>
        <row r="1293">
          <cell r="D1293" t="str">
            <v>ISF3.8</v>
          </cell>
          <cell r="E1293" t="str">
            <v>连杆螺栓</v>
          </cell>
          <cell r="F1293">
            <v>3.08</v>
          </cell>
        </row>
        <row r="1294">
          <cell r="B1294">
            <v>5340588</v>
          </cell>
          <cell r="C1294" t="str">
            <v>5263945/5263946</v>
          </cell>
          <cell r="D1294" t="str">
            <v>ISF2.8</v>
          </cell>
          <cell r="E1294" t="str">
            <v>连杆(国五康瑞H3)</v>
          </cell>
          <cell r="F1294">
            <v>160</v>
          </cell>
        </row>
        <row r="1295">
          <cell r="B1295">
            <v>3694325</v>
          </cell>
        </row>
        <row r="1295">
          <cell r="D1295">
            <v>0</v>
          </cell>
          <cell r="E1295" t="str">
            <v>连杆</v>
          </cell>
          <cell r="F1295">
            <v>606.76</v>
          </cell>
        </row>
        <row r="1296">
          <cell r="B1296">
            <v>3698406</v>
          </cell>
        </row>
        <row r="1296">
          <cell r="D1296">
            <v>0</v>
          </cell>
          <cell r="E1296" t="str">
            <v>连杆</v>
          </cell>
          <cell r="F1296">
            <v>552.1</v>
          </cell>
        </row>
        <row r="1297">
          <cell r="B1297">
            <v>5582693</v>
          </cell>
        </row>
        <row r="1297">
          <cell r="D1297">
            <v>0</v>
          </cell>
          <cell r="E1297" t="str">
            <v>连杆</v>
          </cell>
          <cell r="F1297">
            <v>535.41</v>
          </cell>
        </row>
        <row r="1298">
          <cell r="B1298">
            <v>3698310</v>
          </cell>
        </row>
        <row r="1298">
          <cell r="D1298">
            <v>0</v>
          </cell>
          <cell r="E1298" t="str">
            <v>连杆</v>
          </cell>
          <cell r="F1298">
            <v>509.93</v>
          </cell>
        </row>
        <row r="1299">
          <cell r="B1299">
            <v>3698403</v>
          </cell>
        </row>
        <row r="1299">
          <cell r="D1299">
            <v>0</v>
          </cell>
          <cell r="E1299" t="str">
            <v>连杆</v>
          </cell>
          <cell r="F1299">
            <v>505.61</v>
          </cell>
        </row>
        <row r="1300">
          <cell r="B1300">
            <v>5257364</v>
          </cell>
        </row>
        <row r="1300">
          <cell r="D1300" t="str">
            <v>ISF3.8</v>
          </cell>
          <cell r="E1300" t="str">
            <v>连杆</v>
          </cell>
          <cell r="F1300">
            <v>167.87</v>
          </cell>
        </row>
        <row r="1301">
          <cell r="B1301">
            <v>5529490</v>
          </cell>
        </row>
        <row r="1301">
          <cell r="D1301" t="str">
            <v>ISF2.8</v>
          </cell>
          <cell r="E1301" t="str">
            <v>连杆</v>
          </cell>
          <cell r="F1301">
            <v>160.87</v>
          </cell>
        </row>
        <row r="1302">
          <cell r="B1302">
            <v>5371689</v>
          </cell>
        </row>
        <row r="1302">
          <cell r="D1302">
            <v>0</v>
          </cell>
          <cell r="E1302" t="str">
            <v>冷却器芯</v>
          </cell>
          <cell r="F1302">
            <v>307.69</v>
          </cell>
        </row>
        <row r="1303">
          <cell r="B1303">
            <v>5310404</v>
          </cell>
        </row>
        <row r="1303">
          <cell r="D1303">
            <v>0</v>
          </cell>
          <cell r="E1303" t="str">
            <v>冷却器出水管</v>
          </cell>
          <cell r="F1303">
            <v>37.55</v>
          </cell>
        </row>
        <row r="1304">
          <cell r="B1304">
            <v>5661522</v>
          </cell>
        </row>
        <row r="1304">
          <cell r="D1304">
            <v>0</v>
          </cell>
          <cell r="E1304" t="str">
            <v>冷却管路</v>
          </cell>
          <cell r="F1304">
            <v>87.23</v>
          </cell>
        </row>
        <row r="1305">
          <cell r="B1305">
            <v>5406055</v>
          </cell>
        </row>
        <row r="1305">
          <cell r="D1305">
            <v>0</v>
          </cell>
          <cell r="E1305" t="str">
            <v>快换接头修理包</v>
          </cell>
          <cell r="F1305">
            <v>97.9812</v>
          </cell>
        </row>
        <row r="1306">
          <cell r="B1306">
            <v>3693764</v>
          </cell>
        </row>
        <row r="1306">
          <cell r="D1306">
            <v>0</v>
          </cell>
          <cell r="E1306" t="str">
            <v>快换接头</v>
          </cell>
          <cell r="F1306">
            <v>19.7</v>
          </cell>
        </row>
        <row r="1307">
          <cell r="B1307">
            <v>3974765</v>
          </cell>
        </row>
        <row r="1307">
          <cell r="D1307">
            <v>0</v>
          </cell>
          <cell r="E1307" t="str">
            <v>快插接头</v>
          </cell>
          <cell r="F1307">
            <v>83.2473</v>
          </cell>
        </row>
        <row r="1308">
          <cell r="B1308">
            <v>5259923</v>
          </cell>
        </row>
        <row r="1308">
          <cell r="D1308" t="str">
            <v>ISF3.8</v>
          </cell>
          <cell r="E1308" t="str">
            <v>快插接头</v>
          </cell>
          <cell r="F1308">
            <v>28.6</v>
          </cell>
        </row>
        <row r="1309">
          <cell r="B1309">
            <v>5475035</v>
          </cell>
        </row>
        <row r="1309">
          <cell r="D1309" t="str">
            <v>ISF3.8</v>
          </cell>
          <cell r="E1309" t="str">
            <v>快插接头</v>
          </cell>
          <cell r="F1309">
            <v>20.178</v>
          </cell>
        </row>
        <row r="1310">
          <cell r="B1310">
            <v>5339581</v>
          </cell>
        </row>
        <row r="1310">
          <cell r="D1310">
            <v>0</v>
          </cell>
          <cell r="E1310" t="str">
            <v>快插接头</v>
          </cell>
          <cell r="F1310">
            <v>19.9971</v>
          </cell>
        </row>
        <row r="1311">
          <cell r="B1311">
            <v>5367874</v>
          </cell>
        </row>
        <row r="1311">
          <cell r="D1311" t="str">
            <v>ISF2.8</v>
          </cell>
          <cell r="E1311" t="str">
            <v>快插接头</v>
          </cell>
          <cell r="F1311">
            <v>18.54</v>
          </cell>
        </row>
        <row r="1312">
          <cell r="B1312">
            <v>5265148</v>
          </cell>
        </row>
        <row r="1312">
          <cell r="D1312">
            <v>0</v>
          </cell>
          <cell r="E1312" t="str">
            <v>快插接头</v>
          </cell>
          <cell r="F1312">
            <v>18.5</v>
          </cell>
        </row>
        <row r="1313">
          <cell r="B1313">
            <v>3287433</v>
          </cell>
        </row>
        <row r="1313">
          <cell r="D1313" t="str">
            <v>ISF3.8</v>
          </cell>
          <cell r="E1313" t="str">
            <v>快插接头</v>
          </cell>
          <cell r="F1313">
            <v>17.4573</v>
          </cell>
        </row>
        <row r="1314">
          <cell r="B1314">
            <v>4942467</v>
          </cell>
        </row>
        <row r="1314">
          <cell r="D1314" t="str">
            <v>ISF2.8</v>
          </cell>
          <cell r="E1314" t="str">
            <v>快插接头</v>
          </cell>
          <cell r="F1314">
            <v>14.25</v>
          </cell>
        </row>
        <row r="1315">
          <cell r="B1315">
            <v>4932274</v>
          </cell>
        </row>
        <row r="1315">
          <cell r="D1315">
            <v>0</v>
          </cell>
          <cell r="E1315" t="str">
            <v>快插接头</v>
          </cell>
          <cell r="F1315">
            <v>12.62</v>
          </cell>
        </row>
        <row r="1316">
          <cell r="B1316">
            <v>5333616</v>
          </cell>
        </row>
        <row r="1316">
          <cell r="D1316" t="str">
            <v>ISF3.8</v>
          </cell>
          <cell r="E1316" t="str">
            <v>快插接头</v>
          </cell>
          <cell r="F1316">
            <v>13.24</v>
          </cell>
        </row>
        <row r="1317">
          <cell r="B1317">
            <v>5292661</v>
          </cell>
        </row>
        <row r="1317">
          <cell r="D1317">
            <v>0</v>
          </cell>
          <cell r="E1317" t="str">
            <v>快插接头</v>
          </cell>
          <cell r="F1317">
            <v>12.92</v>
          </cell>
        </row>
        <row r="1318">
          <cell r="B1318">
            <v>5367873</v>
          </cell>
        </row>
        <row r="1318">
          <cell r="D1318">
            <v>0</v>
          </cell>
          <cell r="E1318" t="str">
            <v>快插接头</v>
          </cell>
          <cell r="F1318">
            <v>12.02</v>
          </cell>
        </row>
        <row r="1319">
          <cell r="B1319">
            <v>4932275</v>
          </cell>
        </row>
        <row r="1319">
          <cell r="D1319">
            <v>0</v>
          </cell>
          <cell r="E1319" t="str">
            <v>快插接头</v>
          </cell>
          <cell r="F1319">
            <v>10.88</v>
          </cell>
        </row>
        <row r="1320">
          <cell r="B1320">
            <v>4988138</v>
          </cell>
        </row>
        <row r="1320">
          <cell r="D1320">
            <v>0</v>
          </cell>
          <cell r="E1320" t="str">
            <v>快插接头</v>
          </cell>
          <cell r="F1320">
            <v>15.7</v>
          </cell>
        </row>
        <row r="1321">
          <cell r="B1321">
            <v>3696995</v>
          </cell>
        </row>
        <row r="1321">
          <cell r="D1321">
            <v>0</v>
          </cell>
          <cell r="E1321" t="str">
            <v>快插接头</v>
          </cell>
          <cell r="F1321">
            <v>15.42</v>
          </cell>
        </row>
        <row r="1322">
          <cell r="B1322">
            <v>5334206</v>
          </cell>
        </row>
        <row r="1322">
          <cell r="D1322">
            <v>0</v>
          </cell>
          <cell r="E1322" t="str">
            <v>快插接头</v>
          </cell>
          <cell r="F1322">
            <v>11.06</v>
          </cell>
        </row>
        <row r="1323">
          <cell r="B1323">
            <v>3696781</v>
          </cell>
        </row>
        <row r="1323">
          <cell r="D1323">
            <v>0</v>
          </cell>
          <cell r="E1323" t="str">
            <v>快插接头</v>
          </cell>
          <cell r="F1323">
            <v>10.36</v>
          </cell>
        </row>
        <row r="1324">
          <cell r="B1324">
            <v>5575980</v>
          </cell>
        </row>
        <row r="1324">
          <cell r="D1324">
            <v>0</v>
          </cell>
          <cell r="E1324" t="str">
            <v>空压机支架</v>
          </cell>
          <cell r="F1324">
            <v>184.0743</v>
          </cell>
        </row>
        <row r="1325">
          <cell r="B1325">
            <v>5537192</v>
          </cell>
        </row>
        <row r="1325">
          <cell r="D1325">
            <v>0</v>
          </cell>
          <cell r="E1325" t="str">
            <v>空压机支架</v>
          </cell>
          <cell r="F1325">
            <v>158.2938</v>
          </cell>
        </row>
        <row r="1326">
          <cell r="B1326">
            <v>5475613</v>
          </cell>
        </row>
        <row r="1326">
          <cell r="D1326">
            <v>0</v>
          </cell>
          <cell r="E1326" t="str">
            <v>空压机支架</v>
          </cell>
          <cell r="F1326">
            <v>87.05</v>
          </cell>
        </row>
        <row r="1327">
          <cell r="B1327">
            <v>5320291</v>
          </cell>
        </row>
        <row r="1327">
          <cell r="D1327">
            <v>0</v>
          </cell>
          <cell r="E1327" t="str">
            <v>空压机支架</v>
          </cell>
          <cell r="F1327">
            <v>42.9012</v>
          </cell>
        </row>
        <row r="1328">
          <cell r="B1328">
            <v>4930973</v>
          </cell>
        </row>
        <row r="1328">
          <cell r="D1328" t="str">
            <v>ISF3.8</v>
          </cell>
          <cell r="E1328" t="str">
            <v>空压机支架</v>
          </cell>
          <cell r="F1328">
            <v>16.14</v>
          </cell>
        </row>
        <row r="1329">
          <cell r="B1329">
            <v>5267177</v>
          </cell>
        </row>
        <row r="1329">
          <cell r="D1329">
            <v>0</v>
          </cell>
          <cell r="E1329" t="str">
            <v>空压机皮带轮</v>
          </cell>
          <cell r="F1329">
            <v>170.4726</v>
          </cell>
        </row>
        <row r="1330">
          <cell r="B1330">
            <v>5576052</v>
          </cell>
        </row>
        <row r="1330">
          <cell r="D1330">
            <v>0</v>
          </cell>
          <cell r="E1330" t="str">
            <v>空压机排气门</v>
          </cell>
          <cell r="F1330">
            <v>382.6</v>
          </cell>
        </row>
        <row r="1331">
          <cell r="B1331">
            <v>5342461</v>
          </cell>
        </row>
        <row r="1331">
          <cell r="D1331">
            <v>0</v>
          </cell>
          <cell r="E1331" t="str">
            <v>空压机进水管</v>
          </cell>
          <cell r="F1331">
            <v>84.02</v>
          </cell>
        </row>
        <row r="1332">
          <cell r="B1332">
            <v>5284390</v>
          </cell>
        </row>
        <row r="1332">
          <cell r="D1332">
            <v>0</v>
          </cell>
          <cell r="E1332" t="str">
            <v>空压机进水管</v>
          </cell>
          <cell r="F1332">
            <v>71.46</v>
          </cell>
        </row>
        <row r="1333">
          <cell r="B1333">
            <v>4930971</v>
          </cell>
        </row>
        <row r="1333">
          <cell r="D1333">
            <v>0</v>
          </cell>
          <cell r="E1333" t="str">
            <v>空压机进水管</v>
          </cell>
          <cell r="F1333">
            <v>69.18</v>
          </cell>
        </row>
        <row r="1334">
          <cell r="B1334">
            <v>5303330</v>
          </cell>
        </row>
        <row r="1334">
          <cell r="D1334">
            <v>0</v>
          </cell>
          <cell r="E1334" t="str">
            <v>空压机进水管</v>
          </cell>
          <cell r="F1334">
            <v>63.56</v>
          </cell>
        </row>
        <row r="1335">
          <cell r="B1335">
            <v>5525757</v>
          </cell>
        </row>
        <row r="1335">
          <cell r="D1335">
            <v>0</v>
          </cell>
          <cell r="E1335" t="str">
            <v>空压机进水管</v>
          </cell>
          <cell r="F1335">
            <v>52.32</v>
          </cell>
        </row>
        <row r="1336">
          <cell r="B1336">
            <v>5525884</v>
          </cell>
        </row>
        <row r="1336">
          <cell r="D1336">
            <v>0</v>
          </cell>
          <cell r="E1336" t="str">
            <v>空压机进水管</v>
          </cell>
          <cell r="F1336">
            <v>51.86</v>
          </cell>
        </row>
        <row r="1337">
          <cell r="B1337">
            <v>5537195</v>
          </cell>
        </row>
        <row r="1337">
          <cell r="D1337">
            <v>0</v>
          </cell>
          <cell r="E1337" t="str">
            <v>空压机进水管</v>
          </cell>
          <cell r="F1337">
            <v>59.1192</v>
          </cell>
        </row>
        <row r="1338">
          <cell r="B1338">
            <v>5367871</v>
          </cell>
        </row>
        <row r="1338">
          <cell r="D1338">
            <v>0</v>
          </cell>
          <cell r="E1338" t="str">
            <v>空压机进水管</v>
          </cell>
          <cell r="F1338">
            <v>46.0989</v>
          </cell>
        </row>
        <row r="1339">
          <cell r="B1339">
            <v>5669989</v>
          </cell>
          <cell r="C1339">
            <v>5255186</v>
          </cell>
          <cell r="D1339" t="str">
            <v>ISF3.8</v>
          </cell>
          <cell r="E1339" t="str">
            <v>空压机进水管</v>
          </cell>
          <cell r="F1339">
            <v>44.2017</v>
          </cell>
        </row>
        <row r="1340">
          <cell r="B1340">
            <v>3696284</v>
          </cell>
        </row>
        <row r="1340">
          <cell r="D1340">
            <v>0</v>
          </cell>
          <cell r="E1340" t="str">
            <v>空压机进水管</v>
          </cell>
          <cell r="F1340">
            <v>41.22</v>
          </cell>
        </row>
        <row r="1341">
          <cell r="B1341">
            <v>3695606</v>
          </cell>
        </row>
        <row r="1341">
          <cell r="D1341">
            <v>0</v>
          </cell>
          <cell r="E1341" t="str">
            <v>空压机进水管</v>
          </cell>
          <cell r="F1341">
            <v>46.0683</v>
          </cell>
        </row>
        <row r="1342">
          <cell r="B1342">
            <v>5667155</v>
          </cell>
        </row>
        <row r="1342">
          <cell r="D1342">
            <v>0</v>
          </cell>
          <cell r="E1342" t="str">
            <v>空压机进水管</v>
          </cell>
          <cell r="F1342">
            <v>33.0327</v>
          </cell>
        </row>
        <row r="1343">
          <cell r="B1343">
            <v>5621690</v>
          </cell>
        </row>
        <row r="1343">
          <cell r="D1343">
            <v>0</v>
          </cell>
          <cell r="E1343" t="str">
            <v>空压机进气管</v>
          </cell>
          <cell r="F1343">
            <v>171.14</v>
          </cell>
        </row>
        <row r="1344">
          <cell r="B1344">
            <v>5685503</v>
          </cell>
        </row>
        <row r="1344">
          <cell r="D1344">
            <v>0</v>
          </cell>
          <cell r="E1344" t="str">
            <v>空压机进气管</v>
          </cell>
          <cell r="F1344">
            <v>152.23</v>
          </cell>
        </row>
        <row r="1345">
          <cell r="B1345">
            <v>5377779</v>
          </cell>
        </row>
        <row r="1345">
          <cell r="D1345">
            <v>0</v>
          </cell>
          <cell r="E1345" t="str">
            <v>空压机进气管</v>
          </cell>
          <cell r="F1345">
            <v>141.13</v>
          </cell>
        </row>
        <row r="1346">
          <cell r="B1346">
            <v>5582077</v>
          </cell>
        </row>
        <row r="1346">
          <cell r="D1346">
            <v>0</v>
          </cell>
          <cell r="E1346" t="str">
            <v>空压机进气管</v>
          </cell>
          <cell r="F1346">
            <v>75.29</v>
          </cell>
        </row>
        <row r="1347">
          <cell r="B1347">
            <v>3696295</v>
          </cell>
        </row>
        <row r="1347">
          <cell r="D1347">
            <v>0</v>
          </cell>
          <cell r="E1347" t="str">
            <v>空压机进气管</v>
          </cell>
          <cell r="F1347">
            <v>32.7267</v>
          </cell>
        </row>
        <row r="1348">
          <cell r="B1348">
            <v>5576053</v>
          </cell>
        </row>
        <row r="1348">
          <cell r="D1348">
            <v>0</v>
          </cell>
          <cell r="E1348" t="str">
            <v>空压机活塞</v>
          </cell>
          <cell r="F1348">
            <v>271.85</v>
          </cell>
        </row>
        <row r="1349">
          <cell r="B1349">
            <v>5667583</v>
          </cell>
        </row>
        <row r="1349">
          <cell r="D1349">
            <v>0</v>
          </cell>
          <cell r="E1349" t="str">
            <v>空压机缸盖垫片</v>
          </cell>
          <cell r="F1349">
            <v>773.43</v>
          </cell>
        </row>
        <row r="1350">
          <cell r="B1350">
            <v>5576056</v>
          </cell>
        </row>
        <row r="1350">
          <cell r="D1350">
            <v>0</v>
          </cell>
          <cell r="E1350" t="str">
            <v>空压机缸盖垫片</v>
          </cell>
          <cell r="F1350">
            <v>140.94</v>
          </cell>
        </row>
        <row r="1351">
          <cell r="B1351">
            <v>5576054</v>
          </cell>
        </row>
        <row r="1351">
          <cell r="D1351">
            <v>0</v>
          </cell>
          <cell r="E1351" t="str">
            <v>空压机缸盖</v>
          </cell>
          <cell r="F1351">
            <v>1108.6</v>
          </cell>
        </row>
        <row r="1352">
          <cell r="B1352">
            <v>5575523</v>
          </cell>
        </row>
        <row r="1352">
          <cell r="D1352">
            <v>0</v>
          </cell>
          <cell r="E1352" t="str">
            <v>空压机缸盖</v>
          </cell>
          <cell r="F1352">
            <v>831.2031</v>
          </cell>
        </row>
        <row r="1353">
          <cell r="B1353">
            <v>5271160</v>
          </cell>
        </row>
        <row r="1353">
          <cell r="D1353">
            <v>0</v>
          </cell>
          <cell r="E1353" t="str">
            <v>空压机盖板</v>
          </cell>
          <cell r="F1353">
            <v>45.24</v>
          </cell>
        </row>
        <row r="1354">
          <cell r="B1354">
            <v>5576055</v>
          </cell>
        </row>
        <row r="1354">
          <cell r="D1354">
            <v>0</v>
          </cell>
          <cell r="E1354" t="str">
            <v>空压机垫片</v>
          </cell>
          <cell r="F1354">
            <v>204.5916</v>
          </cell>
        </row>
        <row r="1355">
          <cell r="B1355">
            <v>5582226</v>
          </cell>
        </row>
        <row r="1355">
          <cell r="D1355">
            <v>0</v>
          </cell>
          <cell r="E1355" t="str">
            <v>空压机出水管接头</v>
          </cell>
          <cell r="F1355">
            <v>17.92</v>
          </cell>
        </row>
        <row r="1356">
          <cell r="B1356">
            <v>5623801</v>
          </cell>
        </row>
        <row r="1356">
          <cell r="D1356">
            <v>0</v>
          </cell>
          <cell r="E1356" t="str">
            <v>空压机出水管</v>
          </cell>
          <cell r="F1356">
            <v>109.75</v>
          </cell>
        </row>
        <row r="1357">
          <cell r="B1357">
            <v>5576058</v>
          </cell>
        </row>
        <row r="1357">
          <cell r="D1357">
            <v>0</v>
          </cell>
          <cell r="E1357" t="str">
            <v>空压机出水管</v>
          </cell>
          <cell r="F1357">
            <v>123.5934</v>
          </cell>
        </row>
        <row r="1358">
          <cell r="B1358">
            <v>5560044</v>
          </cell>
        </row>
        <row r="1358">
          <cell r="D1358">
            <v>0</v>
          </cell>
          <cell r="E1358" t="str">
            <v>空压机出水管</v>
          </cell>
          <cell r="F1358">
            <v>98.47</v>
          </cell>
        </row>
        <row r="1359">
          <cell r="B1359">
            <v>5339957</v>
          </cell>
        </row>
        <row r="1359">
          <cell r="D1359">
            <v>0</v>
          </cell>
          <cell r="E1359" t="str">
            <v>空压机出水管</v>
          </cell>
          <cell r="F1359">
            <v>87.5007</v>
          </cell>
        </row>
        <row r="1360">
          <cell r="B1360">
            <v>5485445</v>
          </cell>
        </row>
        <row r="1360">
          <cell r="D1360">
            <v>0</v>
          </cell>
          <cell r="E1360" t="str">
            <v>空压机出水管</v>
          </cell>
          <cell r="F1360">
            <v>82.16</v>
          </cell>
        </row>
        <row r="1361">
          <cell r="B1361">
            <v>5714767</v>
          </cell>
        </row>
        <row r="1361">
          <cell r="D1361">
            <v>0</v>
          </cell>
          <cell r="E1361" t="str">
            <v>空压机出水管</v>
          </cell>
          <cell r="F1361">
            <v>67.74</v>
          </cell>
        </row>
        <row r="1362">
          <cell r="B1362">
            <v>4930972</v>
          </cell>
        </row>
        <row r="1362">
          <cell r="D1362">
            <v>0</v>
          </cell>
          <cell r="E1362" t="str">
            <v>空压机出水管</v>
          </cell>
          <cell r="F1362">
            <v>66.8</v>
          </cell>
        </row>
        <row r="1363">
          <cell r="B1363">
            <v>5623766</v>
          </cell>
        </row>
        <row r="1363">
          <cell r="D1363">
            <v>0</v>
          </cell>
          <cell r="E1363" t="str">
            <v>空压机出水管</v>
          </cell>
          <cell r="F1363">
            <v>62.71</v>
          </cell>
        </row>
        <row r="1364">
          <cell r="B1364">
            <v>5576051</v>
          </cell>
        </row>
        <row r="1364">
          <cell r="D1364">
            <v>0</v>
          </cell>
          <cell r="E1364" t="str">
            <v>空压机出水管</v>
          </cell>
          <cell r="F1364">
            <v>74.9394</v>
          </cell>
        </row>
        <row r="1365">
          <cell r="B1365">
            <v>5525758</v>
          </cell>
        </row>
        <row r="1365">
          <cell r="D1365">
            <v>0</v>
          </cell>
          <cell r="E1365" t="str">
            <v>空压机出水管</v>
          </cell>
          <cell r="F1365">
            <v>51.81</v>
          </cell>
        </row>
        <row r="1366">
          <cell r="B1366">
            <v>3697857</v>
          </cell>
        </row>
        <row r="1366">
          <cell r="D1366" t="str">
            <v>ISG</v>
          </cell>
          <cell r="E1366" t="str">
            <v>空压机出水管</v>
          </cell>
          <cell r="F1366">
            <v>61.0929</v>
          </cell>
        </row>
        <row r="1367">
          <cell r="B1367">
            <v>5525882</v>
          </cell>
        </row>
        <row r="1367">
          <cell r="D1367">
            <v>0</v>
          </cell>
          <cell r="E1367" t="str">
            <v>空压机出水管</v>
          </cell>
          <cell r="F1367">
            <v>49.39</v>
          </cell>
        </row>
        <row r="1368">
          <cell r="B1368">
            <v>5303329</v>
          </cell>
        </row>
        <row r="1368">
          <cell r="D1368">
            <v>0</v>
          </cell>
          <cell r="E1368" t="str">
            <v>空压机出水管</v>
          </cell>
          <cell r="F1368">
            <v>47.16</v>
          </cell>
        </row>
        <row r="1369">
          <cell r="B1369">
            <v>5284391</v>
          </cell>
        </row>
        <row r="1369">
          <cell r="D1369" t="str">
            <v>ISF2.8</v>
          </cell>
          <cell r="E1369" t="str">
            <v>空压机出水管</v>
          </cell>
          <cell r="F1369">
            <v>46.0683</v>
          </cell>
        </row>
        <row r="1370">
          <cell r="B1370">
            <v>5255187</v>
          </cell>
        </row>
        <row r="1370">
          <cell r="D1370" t="str">
            <v>ISF3.8</v>
          </cell>
          <cell r="E1370" t="str">
            <v>空压机出水管</v>
          </cell>
          <cell r="F1370">
            <v>43.81</v>
          </cell>
        </row>
        <row r="1371">
          <cell r="B1371">
            <v>5339575</v>
          </cell>
        </row>
        <row r="1371">
          <cell r="D1371" t="str">
            <v>ISF2.8</v>
          </cell>
          <cell r="E1371" t="str">
            <v>空压机出水管</v>
          </cell>
          <cell r="F1371">
            <v>44.2323</v>
          </cell>
        </row>
        <row r="1372">
          <cell r="B1372">
            <v>5667153</v>
          </cell>
        </row>
        <row r="1372">
          <cell r="D1372">
            <v>0</v>
          </cell>
          <cell r="E1372" t="str">
            <v>空压机出水管</v>
          </cell>
          <cell r="F1372">
            <v>32.6808</v>
          </cell>
        </row>
        <row r="1373">
          <cell r="B1373">
            <v>4936049</v>
          </cell>
        </row>
        <row r="1373">
          <cell r="D1373">
            <v>0</v>
          </cell>
          <cell r="E1373" t="str">
            <v>空压机</v>
          </cell>
          <cell r="F1373">
            <v>3538.98</v>
          </cell>
        </row>
        <row r="1374">
          <cell r="B1374">
            <v>5558670</v>
          </cell>
        </row>
        <row r="1374">
          <cell r="D1374" t="str">
            <v>ISG</v>
          </cell>
          <cell r="E1374" t="str">
            <v>空压机</v>
          </cell>
          <cell r="F1374">
            <v>2285.8047</v>
          </cell>
        </row>
        <row r="1375">
          <cell r="B1375">
            <v>3971519</v>
          </cell>
        </row>
        <row r="1375">
          <cell r="D1375">
            <v>0</v>
          </cell>
          <cell r="E1375" t="str">
            <v>空压机</v>
          </cell>
          <cell r="F1375">
            <v>1442.48</v>
          </cell>
        </row>
        <row r="1376">
          <cell r="B1376">
            <v>5445678</v>
          </cell>
        </row>
        <row r="1376">
          <cell r="D1376">
            <v>0</v>
          </cell>
          <cell r="E1376" t="str">
            <v>空压机</v>
          </cell>
          <cell r="F1376">
            <v>1197.59</v>
          </cell>
        </row>
        <row r="1377">
          <cell r="B1377">
            <v>5268950</v>
          </cell>
        </row>
        <row r="1377">
          <cell r="D1377" t="str">
            <v>ISF2.8/3.8</v>
          </cell>
          <cell r="E1377" t="str">
            <v>空压机</v>
          </cell>
          <cell r="F1377">
            <v>1185.7959</v>
          </cell>
        </row>
        <row r="1378">
          <cell r="B1378">
            <v>5320290</v>
          </cell>
        </row>
        <row r="1378">
          <cell r="D1378">
            <v>0</v>
          </cell>
          <cell r="E1378" t="str">
            <v>空压机</v>
          </cell>
          <cell r="F1378">
            <v>991.45</v>
          </cell>
        </row>
        <row r="1379">
          <cell r="B1379">
            <v>5681983</v>
          </cell>
          <cell r="C1379">
            <v>5583505</v>
          </cell>
          <cell r="D1379">
            <v>0</v>
          </cell>
          <cell r="E1379" t="str">
            <v>空压机</v>
          </cell>
          <cell r="F1379">
            <v>986</v>
          </cell>
        </row>
        <row r="1380">
          <cell r="B1380">
            <v>5665830</v>
          </cell>
        </row>
        <row r="1380">
          <cell r="D1380">
            <v>0</v>
          </cell>
          <cell r="E1380" t="str">
            <v>空压机</v>
          </cell>
          <cell r="F1380">
            <v>818.6418</v>
          </cell>
        </row>
        <row r="1381">
          <cell r="B1381">
            <v>4932265</v>
          </cell>
        </row>
        <row r="1381">
          <cell r="D1381" t="str">
            <v>ISF3.8</v>
          </cell>
          <cell r="E1381" t="str">
            <v>空压机</v>
          </cell>
          <cell r="F1381">
            <v>731.2788</v>
          </cell>
        </row>
        <row r="1382">
          <cell r="B1382">
            <v>5296569</v>
          </cell>
        </row>
        <row r="1382">
          <cell r="D1382">
            <v>0</v>
          </cell>
          <cell r="E1382" t="str">
            <v>空压机</v>
          </cell>
          <cell r="F1382">
            <v>717.7689</v>
          </cell>
        </row>
        <row r="1383">
          <cell r="B1383">
            <v>5284689</v>
          </cell>
        </row>
        <row r="1383">
          <cell r="D1383">
            <v>0</v>
          </cell>
          <cell r="E1383" t="str">
            <v>空调压缩机支架</v>
          </cell>
          <cell r="F1383">
            <v>117.66</v>
          </cell>
        </row>
        <row r="1384">
          <cell r="B1384">
            <v>5274353</v>
          </cell>
        </row>
        <row r="1384">
          <cell r="D1384">
            <v>0</v>
          </cell>
          <cell r="E1384" t="str">
            <v>空调压缩机支架</v>
          </cell>
          <cell r="F1384">
            <v>144.0495</v>
          </cell>
        </row>
        <row r="1385">
          <cell r="B1385">
            <v>5715153</v>
          </cell>
        </row>
        <row r="1385">
          <cell r="D1385">
            <v>0</v>
          </cell>
          <cell r="E1385" t="str">
            <v>空气转换接头</v>
          </cell>
          <cell r="F1385">
            <v>779.34</v>
          </cell>
        </row>
        <row r="1386">
          <cell r="B1386">
            <v>5558388</v>
          </cell>
          <cell r="C1386">
            <v>5537212</v>
          </cell>
          <cell r="D1386" t="str">
            <v>ISG</v>
          </cell>
          <cell r="E1386" t="str">
            <v>空气压缩机</v>
          </cell>
          <cell r="F1386">
            <v>2493.594</v>
          </cell>
        </row>
        <row r="1387">
          <cell r="B1387">
            <v>5666743</v>
          </cell>
        </row>
        <row r="1387">
          <cell r="D1387">
            <v>0</v>
          </cell>
          <cell r="E1387" t="str">
            <v>空气燃料混合器</v>
          </cell>
          <cell r="F1387">
            <v>187.97</v>
          </cell>
        </row>
        <row r="1388">
          <cell r="B1388">
            <v>4994707</v>
          </cell>
        </row>
        <row r="1388">
          <cell r="D1388" t="str">
            <v>ISF2.8</v>
          </cell>
          <cell r="E1388" t="str">
            <v>空气控制阀</v>
          </cell>
          <cell r="F1388">
            <v>480.35</v>
          </cell>
        </row>
        <row r="1389">
          <cell r="B1389">
            <v>6488739</v>
          </cell>
          <cell r="C1389">
            <v>5563093</v>
          </cell>
          <cell r="D1389" t="str">
            <v>ISF2.8</v>
          </cell>
          <cell r="E1389" t="str">
            <v>空气控制阀</v>
          </cell>
          <cell r="F1389">
            <v>326.6397</v>
          </cell>
        </row>
        <row r="1390">
          <cell r="B1390">
            <v>6488751</v>
          </cell>
          <cell r="C1390">
            <v>6314328</v>
          </cell>
          <cell r="D1390">
            <v>0</v>
          </cell>
          <cell r="E1390" t="str">
            <v>空气控制阀</v>
          </cell>
          <cell r="F1390">
            <v>306.2907</v>
          </cell>
        </row>
        <row r="1391">
          <cell r="B1391">
            <v>5614174</v>
          </cell>
        </row>
        <row r="1391">
          <cell r="D1391">
            <v>0</v>
          </cell>
          <cell r="E1391" t="str">
            <v>空气控制阀</v>
          </cell>
          <cell r="F1391">
            <v>233.43</v>
          </cell>
        </row>
        <row r="1392">
          <cell r="B1392">
            <v>5485501</v>
          </cell>
        </row>
        <row r="1392">
          <cell r="D1392">
            <v>0</v>
          </cell>
          <cell r="E1392" t="str">
            <v>客户附件支架</v>
          </cell>
          <cell r="F1392">
            <v>46.62</v>
          </cell>
        </row>
        <row r="1393">
          <cell r="B1393">
            <v>3695824</v>
          </cell>
        </row>
        <row r="1393">
          <cell r="D1393">
            <v>0</v>
          </cell>
          <cell r="E1393" t="str">
            <v>客户附件支架</v>
          </cell>
          <cell r="F1393">
            <v>19.94</v>
          </cell>
        </row>
        <row r="1394">
          <cell r="B1394">
            <v>3694041</v>
          </cell>
        </row>
        <row r="1394">
          <cell r="D1394">
            <v>0</v>
          </cell>
          <cell r="E1394" t="str">
            <v>客户附件支架</v>
          </cell>
          <cell r="F1394">
            <v>12.39</v>
          </cell>
        </row>
        <row r="1395">
          <cell r="B1395">
            <v>3692484</v>
          </cell>
        </row>
        <row r="1395">
          <cell r="D1395">
            <v>0</v>
          </cell>
          <cell r="E1395" t="str">
            <v>抗断裂螺栓</v>
          </cell>
          <cell r="F1395">
            <v>17.9469</v>
          </cell>
        </row>
        <row r="1396">
          <cell r="B1396">
            <v>3692564</v>
          </cell>
          <cell r="C1396">
            <v>3697757</v>
          </cell>
          <cell r="D1396" t="str">
            <v>ISG</v>
          </cell>
          <cell r="E1396" t="str">
            <v>抗断裂螺栓</v>
          </cell>
          <cell r="F1396">
            <v>12.84</v>
          </cell>
        </row>
        <row r="1397">
          <cell r="B1397">
            <v>3692203</v>
          </cell>
        </row>
        <row r="1397">
          <cell r="D1397">
            <v>0</v>
          </cell>
          <cell r="E1397" t="str">
            <v>抗断裂螺栓</v>
          </cell>
          <cell r="F1397">
            <v>19.18</v>
          </cell>
        </row>
        <row r="1398">
          <cell r="B1398">
            <v>3692202</v>
          </cell>
        </row>
        <row r="1398">
          <cell r="D1398">
            <v>0</v>
          </cell>
          <cell r="E1398" t="str">
            <v>抗断裂螺栓</v>
          </cell>
          <cell r="F1398">
            <v>16.66</v>
          </cell>
        </row>
        <row r="1399">
          <cell r="B1399">
            <v>3695730</v>
          </cell>
        </row>
        <row r="1399">
          <cell r="D1399">
            <v>0</v>
          </cell>
          <cell r="E1399" t="str">
            <v>抗断裂螺栓</v>
          </cell>
          <cell r="F1399">
            <v>15</v>
          </cell>
        </row>
        <row r="1400">
          <cell r="B1400">
            <v>3695535</v>
          </cell>
        </row>
        <row r="1400">
          <cell r="D1400">
            <v>0</v>
          </cell>
          <cell r="E1400" t="str">
            <v>抗断裂螺栓</v>
          </cell>
          <cell r="F1400">
            <v>11.48</v>
          </cell>
        </row>
        <row r="1401">
          <cell r="B1401">
            <v>3927948</v>
          </cell>
        </row>
        <row r="1401">
          <cell r="D1401" t="str">
            <v>ISF2.8/3.8</v>
          </cell>
          <cell r="E1401" t="str">
            <v>抗断裂螺栓</v>
          </cell>
          <cell r="F1401">
            <v>5.71</v>
          </cell>
        </row>
        <row r="1402">
          <cell r="B1402">
            <v>4980332</v>
          </cell>
        </row>
        <row r="1402">
          <cell r="D1402" t="str">
            <v>ISF3.8</v>
          </cell>
          <cell r="E1402" t="str">
            <v>抗断裂螺栓</v>
          </cell>
          <cell r="F1402">
            <v>4.96</v>
          </cell>
        </row>
        <row r="1403">
          <cell r="B1403">
            <v>4940675</v>
          </cell>
        </row>
        <row r="1403">
          <cell r="D1403" t="str">
            <v>ISF3.8</v>
          </cell>
          <cell r="E1403" t="str">
            <v>抗断裂螺栓</v>
          </cell>
          <cell r="F1403">
            <v>3.71</v>
          </cell>
        </row>
        <row r="1404">
          <cell r="B1404">
            <v>4942710</v>
          </cell>
        </row>
        <row r="1404">
          <cell r="D1404" t="str">
            <v>ISF2.8</v>
          </cell>
          <cell r="E1404" t="str">
            <v>抗断裂螺栓</v>
          </cell>
          <cell r="F1404">
            <v>3.46</v>
          </cell>
        </row>
        <row r="1405">
          <cell r="B1405">
            <v>5582321</v>
          </cell>
        </row>
        <row r="1405">
          <cell r="D1405">
            <v>0</v>
          </cell>
          <cell r="E1405" t="str">
            <v>卡箍</v>
          </cell>
          <cell r="F1405">
            <v>91.08</v>
          </cell>
        </row>
        <row r="1406">
          <cell r="B1406">
            <v>5709562</v>
          </cell>
        </row>
        <row r="1406">
          <cell r="D1406">
            <v>0</v>
          </cell>
          <cell r="E1406" t="str">
            <v>矩形密封圈</v>
          </cell>
          <cell r="F1406">
            <v>78.89</v>
          </cell>
        </row>
        <row r="1407">
          <cell r="B1407">
            <v>5529270</v>
          </cell>
        </row>
        <row r="1407">
          <cell r="D1407">
            <v>0</v>
          </cell>
          <cell r="E1407" t="str">
            <v>矩形密封圈</v>
          </cell>
          <cell r="F1407">
            <v>16.28</v>
          </cell>
        </row>
        <row r="1408">
          <cell r="B1408">
            <v>5485533</v>
          </cell>
        </row>
        <row r="1408">
          <cell r="D1408">
            <v>0</v>
          </cell>
          <cell r="E1408" t="str">
            <v>矩形密封圈</v>
          </cell>
          <cell r="F1408">
            <v>13.36</v>
          </cell>
        </row>
        <row r="1409">
          <cell r="B1409">
            <v>5485534</v>
          </cell>
        </row>
        <row r="1409">
          <cell r="D1409">
            <v>0</v>
          </cell>
          <cell r="E1409" t="str">
            <v>矩形密封圈</v>
          </cell>
          <cell r="F1409">
            <v>11.35</v>
          </cell>
        </row>
        <row r="1410">
          <cell r="B1410">
            <v>5254215</v>
          </cell>
        </row>
        <row r="1410">
          <cell r="D1410">
            <v>0</v>
          </cell>
          <cell r="E1410" t="str">
            <v>矩形密封圈</v>
          </cell>
          <cell r="F1410">
            <v>9.14</v>
          </cell>
        </row>
        <row r="1411">
          <cell r="B1411">
            <v>3697621</v>
          </cell>
        </row>
        <row r="1411">
          <cell r="D1411">
            <v>0</v>
          </cell>
          <cell r="E1411" t="str">
            <v>矩形密封圈</v>
          </cell>
          <cell r="F1411">
            <v>3.9</v>
          </cell>
        </row>
        <row r="1412">
          <cell r="B1412">
            <v>5253501</v>
          </cell>
        </row>
        <row r="1412">
          <cell r="D1412" t="str">
            <v>ISF3.8</v>
          </cell>
          <cell r="E1412" t="str">
            <v>矩形密封圈</v>
          </cell>
          <cell r="F1412">
            <v>4.54</v>
          </cell>
        </row>
        <row r="1413">
          <cell r="B1413">
            <v>5529393</v>
          </cell>
        </row>
        <row r="1413">
          <cell r="D1413">
            <v>0</v>
          </cell>
          <cell r="E1413" t="str">
            <v>进水连接件</v>
          </cell>
          <cell r="F1413">
            <v>109.1349</v>
          </cell>
        </row>
        <row r="1414">
          <cell r="B1414">
            <v>5529391</v>
          </cell>
        </row>
        <row r="1414">
          <cell r="D1414" t="str">
            <v>ISF2.8</v>
          </cell>
          <cell r="E1414" t="str">
            <v>进水连接件</v>
          </cell>
          <cell r="F1414">
            <v>104.71</v>
          </cell>
        </row>
        <row r="1415">
          <cell r="B1415">
            <v>5563432</v>
          </cell>
        </row>
        <row r="1415">
          <cell r="D1415">
            <v>0</v>
          </cell>
          <cell r="E1415" t="str">
            <v>进水连接件</v>
          </cell>
          <cell r="F1415">
            <v>98.92</v>
          </cell>
        </row>
        <row r="1416">
          <cell r="B1416">
            <v>5340389</v>
          </cell>
        </row>
        <row r="1416">
          <cell r="D1416">
            <v>0</v>
          </cell>
          <cell r="E1416" t="str">
            <v>进水连接件</v>
          </cell>
          <cell r="F1416">
            <v>87.4089</v>
          </cell>
        </row>
        <row r="1417">
          <cell r="B1417">
            <v>5340451</v>
          </cell>
        </row>
        <row r="1417">
          <cell r="D1417">
            <v>0</v>
          </cell>
          <cell r="E1417" t="str">
            <v>进水连接件</v>
          </cell>
          <cell r="F1417">
            <v>42.52</v>
          </cell>
        </row>
        <row r="1418">
          <cell r="B1418">
            <v>5257644</v>
          </cell>
        </row>
        <row r="1418">
          <cell r="D1418">
            <v>0</v>
          </cell>
          <cell r="E1418" t="str">
            <v>进水连接件</v>
          </cell>
          <cell r="F1418">
            <v>23.6232</v>
          </cell>
        </row>
        <row r="1419">
          <cell r="B1419">
            <v>5270241</v>
          </cell>
        </row>
        <row r="1419">
          <cell r="D1419" t="str">
            <v>ISF2.8</v>
          </cell>
          <cell r="E1419" t="str">
            <v>进水连接件</v>
          </cell>
          <cell r="F1419">
            <v>21.96</v>
          </cell>
        </row>
        <row r="1420">
          <cell r="B1420">
            <v>3697762</v>
          </cell>
        </row>
        <row r="1420">
          <cell r="D1420">
            <v>0</v>
          </cell>
          <cell r="E1420" t="str">
            <v>进水管</v>
          </cell>
          <cell r="F1420">
            <v>353.84</v>
          </cell>
        </row>
        <row r="1421">
          <cell r="B1421">
            <v>3697183</v>
          </cell>
        </row>
        <row r="1421">
          <cell r="D1421">
            <v>0</v>
          </cell>
          <cell r="E1421" t="str">
            <v>进水管</v>
          </cell>
          <cell r="F1421">
            <v>340.89</v>
          </cell>
        </row>
        <row r="1422">
          <cell r="B1422">
            <v>5667825</v>
          </cell>
        </row>
        <row r="1422">
          <cell r="D1422">
            <v>0</v>
          </cell>
          <cell r="E1422" t="str">
            <v>进水管</v>
          </cell>
          <cell r="F1422">
            <v>340.43</v>
          </cell>
        </row>
        <row r="1423">
          <cell r="B1423">
            <v>3697322</v>
          </cell>
        </row>
        <row r="1423">
          <cell r="D1423">
            <v>0</v>
          </cell>
          <cell r="E1423" t="str">
            <v>进水管</v>
          </cell>
          <cell r="F1423">
            <v>236.4</v>
          </cell>
        </row>
        <row r="1424">
          <cell r="B1424">
            <v>5709274</v>
          </cell>
        </row>
        <row r="1424">
          <cell r="D1424">
            <v>0</v>
          </cell>
          <cell r="E1424" t="str">
            <v>进水管</v>
          </cell>
          <cell r="F1424">
            <v>182.43</v>
          </cell>
        </row>
        <row r="1425">
          <cell r="B1425">
            <v>3697323</v>
          </cell>
        </row>
        <row r="1425">
          <cell r="D1425">
            <v>0</v>
          </cell>
          <cell r="E1425" t="str">
            <v>进水管</v>
          </cell>
          <cell r="F1425">
            <v>141.9</v>
          </cell>
        </row>
        <row r="1426">
          <cell r="B1426">
            <v>5559860</v>
          </cell>
        </row>
        <row r="1426">
          <cell r="D1426">
            <v>0</v>
          </cell>
          <cell r="E1426" t="str">
            <v>进水管</v>
          </cell>
          <cell r="F1426">
            <v>129.6</v>
          </cell>
        </row>
        <row r="1427">
          <cell r="B1427">
            <v>5297622</v>
          </cell>
        </row>
        <row r="1427">
          <cell r="D1427" t="str">
            <v>ISF3.8</v>
          </cell>
          <cell r="E1427" t="str">
            <v>进水管</v>
          </cell>
          <cell r="F1427">
            <v>112.4703</v>
          </cell>
        </row>
        <row r="1428">
          <cell r="B1428">
            <v>5667262</v>
          </cell>
        </row>
        <row r="1428">
          <cell r="D1428">
            <v>0</v>
          </cell>
          <cell r="E1428" t="str">
            <v>进水管</v>
          </cell>
          <cell r="F1428">
            <v>108.12</v>
          </cell>
        </row>
        <row r="1429">
          <cell r="B1429">
            <v>5443539</v>
          </cell>
        </row>
        <row r="1429">
          <cell r="D1429">
            <v>0</v>
          </cell>
          <cell r="E1429" t="str">
            <v>进水管</v>
          </cell>
          <cell r="F1429">
            <v>65.9277</v>
          </cell>
        </row>
        <row r="1430">
          <cell r="B1430">
            <v>5662383</v>
          </cell>
        </row>
        <row r="1430">
          <cell r="D1430">
            <v>0</v>
          </cell>
          <cell r="E1430" t="str">
            <v>进水管</v>
          </cell>
          <cell r="F1430">
            <v>59.89</v>
          </cell>
        </row>
        <row r="1431">
          <cell r="B1431">
            <v>5565939</v>
          </cell>
          <cell r="C1431" t="str">
            <v>5258034/5303283</v>
          </cell>
          <cell r="D1431" t="str">
            <v>ISF3.8</v>
          </cell>
          <cell r="E1431" t="str">
            <v>进水管</v>
          </cell>
          <cell r="F1431">
            <v>55.4319</v>
          </cell>
        </row>
        <row r="1432">
          <cell r="B1432">
            <v>5584457</v>
          </cell>
        </row>
        <row r="1432">
          <cell r="D1432" t="str">
            <v>ISF2.8</v>
          </cell>
          <cell r="E1432" t="str">
            <v>进水管</v>
          </cell>
          <cell r="F1432">
            <v>47.5218</v>
          </cell>
        </row>
        <row r="1433">
          <cell r="B1433">
            <v>6304893</v>
          </cell>
          <cell r="C1433">
            <v>5689070</v>
          </cell>
          <cell r="D1433" t="e">
            <v>#N/A</v>
          </cell>
          <cell r="E1433" t="str">
            <v>进水管</v>
          </cell>
          <cell r="F1433">
            <v>34.68</v>
          </cell>
        </row>
        <row r="1434">
          <cell r="B1434">
            <v>5566279</v>
          </cell>
          <cell r="C1434">
            <v>5285962</v>
          </cell>
          <cell r="D1434" t="str">
            <v>ISF2.8</v>
          </cell>
          <cell r="E1434" t="str">
            <v>进气预热器</v>
          </cell>
          <cell r="F1434">
            <v>112.13</v>
          </cell>
        </row>
        <row r="1435">
          <cell r="B1435">
            <v>4983020</v>
          </cell>
        </row>
        <row r="1435">
          <cell r="D1435" t="str">
            <v>ISF3.8</v>
          </cell>
          <cell r="E1435" t="str">
            <v>进气歧管密封垫</v>
          </cell>
          <cell r="F1435">
            <v>21.33</v>
          </cell>
        </row>
        <row r="1436">
          <cell r="B1436">
            <v>5666699</v>
          </cell>
          <cell r="C1436">
            <v>5528586</v>
          </cell>
          <cell r="D1436">
            <v>0</v>
          </cell>
          <cell r="E1436" t="str">
            <v>进气歧管密封垫</v>
          </cell>
          <cell r="F1436">
            <v>17.72</v>
          </cell>
        </row>
        <row r="1437">
          <cell r="B1437">
            <v>4983654</v>
          </cell>
        </row>
        <row r="1437">
          <cell r="D1437" t="str">
            <v>ISF2.8</v>
          </cell>
          <cell r="E1437" t="str">
            <v>进气歧管密封垫</v>
          </cell>
          <cell r="F1437">
            <v>15.94</v>
          </cell>
        </row>
        <row r="1438">
          <cell r="B1438">
            <v>5267619</v>
          </cell>
        </row>
        <row r="1438">
          <cell r="D1438">
            <v>0</v>
          </cell>
          <cell r="E1438" t="str">
            <v>进气歧管(国五康瑞H3)</v>
          </cell>
          <cell r="F1438">
            <v>169.29</v>
          </cell>
        </row>
        <row r="1439">
          <cell r="B1439">
            <v>5319428</v>
          </cell>
        </row>
        <row r="1439">
          <cell r="D1439">
            <v>0</v>
          </cell>
          <cell r="E1439" t="str">
            <v>进气歧管</v>
          </cell>
          <cell r="F1439">
            <v>1381.13</v>
          </cell>
        </row>
        <row r="1440">
          <cell r="B1440">
            <v>5664456</v>
          </cell>
        </row>
        <row r="1440">
          <cell r="D1440">
            <v>0</v>
          </cell>
          <cell r="E1440" t="str">
            <v>进气歧管</v>
          </cell>
          <cell r="F1440">
            <v>905.91</v>
          </cell>
        </row>
        <row r="1441">
          <cell r="B1441">
            <v>5564090</v>
          </cell>
        </row>
        <row r="1441">
          <cell r="D1441">
            <v>0</v>
          </cell>
          <cell r="E1441" t="str">
            <v>进气歧管</v>
          </cell>
          <cell r="F1441">
            <v>457.66</v>
          </cell>
        </row>
        <row r="1442">
          <cell r="B1442">
            <v>3697740</v>
          </cell>
        </row>
        <row r="1442">
          <cell r="D1442">
            <v>0</v>
          </cell>
          <cell r="E1442" t="str">
            <v>进气歧管</v>
          </cell>
          <cell r="F1442">
            <v>457.14</v>
          </cell>
        </row>
        <row r="1443">
          <cell r="B1443">
            <v>5312326</v>
          </cell>
        </row>
        <row r="1443">
          <cell r="D1443" t="str">
            <v>ISF4.5</v>
          </cell>
          <cell r="E1443" t="str">
            <v>进气歧管</v>
          </cell>
          <cell r="F1443">
            <v>300.74</v>
          </cell>
        </row>
        <row r="1444">
          <cell r="B1444">
            <v>5528617</v>
          </cell>
        </row>
        <row r="1444">
          <cell r="D1444">
            <v>0</v>
          </cell>
          <cell r="E1444" t="str">
            <v>进气歧管</v>
          </cell>
          <cell r="F1444">
            <v>243.98</v>
          </cell>
        </row>
        <row r="1445">
          <cell r="B1445">
            <v>3694556</v>
          </cell>
        </row>
        <row r="1445">
          <cell r="D1445">
            <v>0</v>
          </cell>
          <cell r="E1445" t="str">
            <v>进气歧管</v>
          </cell>
          <cell r="F1445">
            <v>252.58</v>
          </cell>
        </row>
        <row r="1446">
          <cell r="B1446">
            <v>3694557</v>
          </cell>
        </row>
        <row r="1446">
          <cell r="D1446">
            <v>0</v>
          </cell>
          <cell r="E1446" t="str">
            <v>进气歧管</v>
          </cell>
          <cell r="F1446">
            <v>252.58</v>
          </cell>
        </row>
        <row r="1447">
          <cell r="B1447">
            <v>5319324</v>
          </cell>
        </row>
        <row r="1447">
          <cell r="D1447">
            <v>0</v>
          </cell>
          <cell r="E1447" t="str">
            <v>进气歧管</v>
          </cell>
          <cell r="F1447">
            <v>255.2958</v>
          </cell>
        </row>
        <row r="1448">
          <cell r="B1448">
            <v>5446161</v>
          </cell>
        </row>
        <row r="1448">
          <cell r="D1448">
            <v>0</v>
          </cell>
          <cell r="E1448" t="str">
            <v>进气歧管</v>
          </cell>
          <cell r="F1448">
            <v>216.4032</v>
          </cell>
        </row>
        <row r="1449">
          <cell r="B1449">
            <v>5296781</v>
          </cell>
        </row>
        <row r="1449">
          <cell r="D1449">
            <v>0</v>
          </cell>
          <cell r="E1449" t="str">
            <v>进气歧管</v>
          </cell>
          <cell r="F1449">
            <v>203.1993</v>
          </cell>
        </row>
        <row r="1450">
          <cell r="B1450">
            <v>5267067</v>
          </cell>
        </row>
        <row r="1450">
          <cell r="D1450">
            <v>0</v>
          </cell>
          <cell r="E1450" t="str">
            <v>进气歧管</v>
          </cell>
          <cell r="F1450">
            <v>196.4214</v>
          </cell>
        </row>
        <row r="1451">
          <cell r="B1451">
            <v>5267065</v>
          </cell>
          <cell r="C1451">
            <v>5262696</v>
          </cell>
          <cell r="D1451" t="str">
            <v>ISF3.8</v>
          </cell>
          <cell r="E1451" t="str">
            <v>进气歧管</v>
          </cell>
          <cell r="F1451">
            <v>190.29</v>
          </cell>
        </row>
        <row r="1452">
          <cell r="B1452">
            <v>5528587</v>
          </cell>
        </row>
        <row r="1452">
          <cell r="D1452" t="str">
            <v>ISF2.8</v>
          </cell>
          <cell r="E1452" t="str">
            <v>进气歧管</v>
          </cell>
          <cell r="F1452">
            <v>150.9</v>
          </cell>
        </row>
        <row r="1453">
          <cell r="B1453">
            <v>5267618</v>
          </cell>
        </row>
        <row r="1453">
          <cell r="D1453">
            <v>0</v>
          </cell>
          <cell r="E1453" t="str">
            <v>进气歧管</v>
          </cell>
          <cell r="F1453">
            <v>169.29</v>
          </cell>
        </row>
        <row r="1454">
          <cell r="B1454">
            <v>5267617</v>
          </cell>
        </row>
        <row r="1454">
          <cell r="D1454">
            <v>0</v>
          </cell>
          <cell r="E1454" t="str">
            <v>进气歧管</v>
          </cell>
          <cell r="F1454">
            <v>169.29</v>
          </cell>
        </row>
        <row r="1455">
          <cell r="B1455">
            <v>5267620</v>
          </cell>
        </row>
        <row r="1455">
          <cell r="D1455">
            <v>0</v>
          </cell>
          <cell r="E1455" t="str">
            <v>进气歧管</v>
          </cell>
          <cell r="F1455">
            <v>169.29</v>
          </cell>
        </row>
        <row r="1456">
          <cell r="B1456">
            <v>3697424</v>
          </cell>
        </row>
        <row r="1456">
          <cell r="D1456" t="str">
            <v>ISG</v>
          </cell>
          <cell r="E1456" t="str">
            <v>进气门座圈</v>
          </cell>
          <cell r="F1456">
            <v>39.4587</v>
          </cell>
        </row>
        <row r="1457">
          <cell r="B1457">
            <v>3696555</v>
          </cell>
        </row>
        <row r="1457">
          <cell r="D1457" t="str">
            <v>ISG</v>
          </cell>
          <cell r="E1457" t="str">
            <v>进气门油封</v>
          </cell>
          <cell r="F1457">
            <v>8.06</v>
          </cell>
        </row>
        <row r="1458">
          <cell r="B1458">
            <v>3695898</v>
          </cell>
        </row>
        <row r="1458">
          <cell r="D1458">
            <v>0</v>
          </cell>
          <cell r="E1458" t="str">
            <v>进气门弹簧座</v>
          </cell>
          <cell r="F1458">
            <v>3.94</v>
          </cell>
        </row>
        <row r="1459">
          <cell r="B1459">
            <v>3695886</v>
          </cell>
        </row>
        <row r="1459">
          <cell r="D1459">
            <v>0</v>
          </cell>
          <cell r="E1459" t="str">
            <v>进气门弹簧</v>
          </cell>
          <cell r="F1459">
            <v>6.64</v>
          </cell>
        </row>
        <row r="1460">
          <cell r="B1460">
            <v>5557883</v>
          </cell>
        </row>
        <row r="1460">
          <cell r="D1460">
            <v>0</v>
          </cell>
          <cell r="E1460" t="str">
            <v>进气门</v>
          </cell>
          <cell r="F1460">
            <v>86.1084</v>
          </cell>
        </row>
        <row r="1461">
          <cell r="B1461">
            <v>5582669</v>
          </cell>
        </row>
        <row r="1461">
          <cell r="D1461">
            <v>0</v>
          </cell>
          <cell r="E1461" t="str">
            <v>进气门</v>
          </cell>
          <cell r="F1461">
            <v>72.03</v>
          </cell>
        </row>
        <row r="1462">
          <cell r="B1462">
            <v>3697413</v>
          </cell>
        </row>
        <row r="1462">
          <cell r="D1462" t="str">
            <v>ISG</v>
          </cell>
          <cell r="E1462" t="str">
            <v>进气门</v>
          </cell>
          <cell r="F1462">
            <v>29.4066</v>
          </cell>
        </row>
        <row r="1463">
          <cell r="B1463">
            <v>3940735</v>
          </cell>
        </row>
        <row r="1463">
          <cell r="D1463" t="str">
            <v>ISF3.8</v>
          </cell>
          <cell r="E1463" t="str">
            <v>进气门</v>
          </cell>
          <cell r="F1463">
            <v>15.43</v>
          </cell>
        </row>
        <row r="1464">
          <cell r="B1464">
            <v>5308264</v>
          </cell>
          <cell r="C1464">
            <v>5261320</v>
          </cell>
          <cell r="D1464" t="str">
            <v>ISF2.8</v>
          </cell>
          <cell r="E1464" t="str">
            <v>进气门</v>
          </cell>
          <cell r="F1464">
            <v>14.04</v>
          </cell>
        </row>
        <row r="1465">
          <cell r="B1465">
            <v>3696223</v>
          </cell>
        </row>
        <row r="1465">
          <cell r="D1465" t="str">
            <v>ISG</v>
          </cell>
          <cell r="E1465" t="str">
            <v>进气连接件</v>
          </cell>
          <cell r="F1465">
            <v>782.7633</v>
          </cell>
        </row>
        <row r="1466">
          <cell r="B1466">
            <v>5563165</v>
          </cell>
        </row>
        <row r="1466">
          <cell r="D1466">
            <v>0</v>
          </cell>
          <cell r="E1466" t="str">
            <v>进气连接件</v>
          </cell>
          <cell r="F1466">
            <v>195.44</v>
          </cell>
        </row>
        <row r="1467">
          <cell r="B1467">
            <v>3696225</v>
          </cell>
        </row>
        <row r="1467">
          <cell r="D1467">
            <v>0</v>
          </cell>
          <cell r="E1467" t="str">
            <v>进气连接件</v>
          </cell>
          <cell r="F1467">
            <v>184.15</v>
          </cell>
        </row>
        <row r="1468">
          <cell r="B1468">
            <v>5371090</v>
          </cell>
        </row>
        <row r="1468">
          <cell r="D1468">
            <v>0</v>
          </cell>
          <cell r="E1468" t="str">
            <v>进气连接件</v>
          </cell>
          <cell r="F1468">
            <v>182.98</v>
          </cell>
        </row>
        <row r="1469">
          <cell r="B1469">
            <v>5561419</v>
          </cell>
        </row>
        <row r="1469">
          <cell r="D1469">
            <v>0</v>
          </cell>
          <cell r="E1469" t="str">
            <v>进气连接件</v>
          </cell>
          <cell r="F1469">
            <v>102.05</v>
          </cell>
        </row>
        <row r="1470">
          <cell r="B1470">
            <v>5446163</v>
          </cell>
        </row>
        <row r="1470">
          <cell r="D1470">
            <v>0</v>
          </cell>
          <cell r="E1470" t="str">
            <v>进气连接件</v>
          </cell>
          <cell r="F1470">
            <v>88.3575</v>
          </cell>
        </row>
        <row r="1471">
          <cell r="B1471">
            <v>5688927</v>
          </cell>
        </row>
        <row r="1471">
          <cell r="D1471">
            <v>0</v>
          </cell>
          <cell r="E1471" t="str">
            <v>进气连接管</v>
          </cell>
          <cell r="F1471">
            <v>333.48</v>
          </cell>
        </row>
        <row r="1472">
          <cell r="B1472">
            <v>5613723</v>
          </cell>
        </row>
        <row r="1472">
          <cell r="D1472">
            <v>0</v>
          </cell>
          <cell r="E1472" t="str">
            <v>进气连接管</v>
          </cell>
          <cell r="F1472">
            <v>113.23</v>
          </cell>
        </row>
        <row r="1473">
          <cell r="B1473">
            <v>5563915</v>
          </cell>
        </row>
        <row r="1473">
          <cell r="D1473">
            <v>0</v>
          </cell>
          <cell r="E1473" t="str">
            <v>进气接头</v>
          </cell>
          <cell r="F1473">
            <v>94.03</v>
          </cell>
        </row>
        <row r="1474">
          <cell r="B1474">
            <v>5289774</v>
          </cell>
          <cell r="C1474">
            <v>5254979</v>
          </cell>
          <cell r="D1474" t="str">
            <v>ISF2.8</v>
          </cell>
          <cell r="E1474" t="str">
            <v>进气加热器</v>
          </cell>
          <cell r="F1474">
            <v>180.8001</v>
          </cell>
        </row>
        <row r="1475">
          <cell r="B1475">
            <v>5536524</v>
          </cell>
        </row>
        <row r="1475">
          <cell r="D1475">
            <v>0</v>
          </cell>
          <cell r="E1475" t="str">
            <v>进气加热器</v>
          </cell>
          <cell r="F1475">
            <v>133.4466</v>
          </cell>
        </row>
        <row r="1476">
          <cell r="B1476">
            <v>5405054</v>
          </cell>
          <cell r="C1476">
            <v>5254980</v>
          </cell>
          <cell r="D1476" t="str">
            <v>ISF3.8</v>
          </cell>
          <cell r="E1476" t="str">
            <v>进气加热器</v>
          </cell>
          <cell r="F1476">
            <v>103.27</v>
          </cell>
        </row>
        <row r="1477">
          <cell r="B1477">
            <v>5346196</v>
          </cell>
        </row>
        <row r="1477">
          <cell r="D1477">
            <v>0</v>
          </cell>
          <cell r="E1477" t="str">
            <v>进气过渡管</v>
          </cell>
          <cell r="F1477">
            <v>69.76</v>
          </cell>
        </row>
        <row r="1478">
          <cell r="B1478">
            <v>5282013</v>
          </cell>
        </row>
        <row r="1478">
          <cell r="D1478">
            <v>0</v>
          </cell>
          <cell r="E1478" t="str">
            <v>进气过渡管</v>
          </cell>
          <cell r="F1478">
            <v>43.16</v>
          </cell>
        </row>
        <row r="1479">
          <cell r="B1479">
            <v>5371082</v>
          </cell>
        </row>
        <row r="1479">
          <cell r="D1479">
            <v>0</v>
          </cell>
          <cell r="E1479" t="str">
            <v>进气管支架</v>
          </cell>
          <cell r="F1479">
            <v>35.42</v>
          </cell>
        </row>
        <row r="1480">
          <cell r="B1480">
            <v>5371088</v>
          </cell>
        </row>
        <row r="1480">
          <cell r="D1480">
            <v>0</v>
          </cell>
          <cell r="E1480" t="str">
            <v>进气管支架</v>
          </cell>
          <cell r="F1480">
            <v>18.68</v>
          </cell>
        </row>
        <row r="1481">
          <cell r="B1481">
            <v>3682179</v>
          </cell>
        </row>
        <row r="1481">
          <cell r="D1481">
            <v>0</v>
          </cell>
          <cell r="E1481" t="str">
            <v>进气管接头</v>
          </cell>
          <cell r="F1481">
            <v>209.64</v>
          </cell>
        </row>
        <row r="1482">
          <cell r="B1482">
            <v>3682676</v>
          </cell>
        </row>
        <row r="1482">
          <cell r="D1482">
            <v>0</v>
          </cell>
          <cell r="E1482" t="str">
            <v>进气管接头</v>
          </cell>
          <cell r="F1482">
            <v>182.87</v>
          </cell>
        </row>
        <row r="1483">
          <cell r="B1483">
            <v>5485498</v>
          </cell>
        </row>
        <row r="1483">
          <cell r="D1483">
            <v>0</v>
          </cell>
          <cell r="E1483" t="str">
            <v>进气管接头</v>
          </cell>
          <cell r="F1483">
            <v>55.23</v>
          </cell>
        </row>
        <row r="1484">
          <cell r="B1484">
            <v>5371063</v>
          </cell>
        </row>
        <row r="1484">
          <cell r="D1484">
            <v>0</v>
          </cell>
          <cell r="E1484" t="str">
            <v>进气管接头</v>
          </cell>
          <cell r="F1484">
            <v>51.25</v>
          </cell>
        </row>
        <row r="1485">
          <cell r="B1485">
            <v>3954829</v>
          </cell>
        </row>
        <row r="1485">
          <cell r="D1485" t="str">
            <v>ISF2.8/3.8</v>
          </cell>
          <cell r="E1485" t="str">
            <v>节温器密封垫</v>
          </cell>
          <cell r="F1485">
            <v>2.49</v>
          </cell>
        </row>
        <row r="1486">
          <cell r="B1486">
            <v>3698028</v>
          </cell>
        </row>
        <row r="1486">
          <cell r="D1486" t="str">
            <v>ISG</v>
          </cell>
          <cell r="E1486" t="str">
            <v>节温器壳体密封垫</v>
          </cell>
          <cell r="F1486">
            <v>46.665</v>
          </cell>
        </row>
        <row r="1487">
          <cell r="B1487">
            <v>5293671</v>
          </cell>
        </row>
        <row r="1487">
          <cell r="D1487" t="str">
            <v>ISF2.8/3.8</v>
          </cell>
          <cell r="E1487" t="str">
            <v>节温器壳体(国五康瑞H3)</v>
          </cell>
          <cell r="F1487">
            <v>61.775</v>
          </cell>
        </row>
        <row r="1488">
          <cell r="B1488">
            <v>5303081</v>
          </cell>
        </row>
        <row r="1488">
          <cell r="D1488">
            <v>0</v>
          </cell>
          <cell r="E1488" t="str">
            <v>节温器壳体</v>
          </cell>
          <cell r="F1488">
            <v>235.63</v>
          </cell>
        </row>
        <row r="1489">
          <cell r="B1489">
            <v>5294105</v>
          </cell>
          <cell r="C1489">
            <v>5267237</v>
          </cell>
          <cell r="D1489" t="str">
            <v>ISF2.8</v>
          </cell>
          <cell r="E1489" t="str">
            <v>节温器壳体</v>
          </cell>
          <cell r="F1489">
            <v>183.2</v>
          </cell>
        </row>
        <row r="1490">
          <cell r="B1490">
            <v>5294106</v>
          </cell>
        </row>
        <row r="1490">
          <cell r="D1490">
            <v>0</v>
          </cell>
          <cell r="E1490" t="str">
            <v>节温器壳体</v>
          </cell>
          <cell r="F1490">
            <v>186.12</v>
          </cell>
        </row>
        <row r="1491">
          <cell r="B1491">
            <v>5564093</v>
          </cell>
        </row>
        <row r="1491">
          <cell r="D1491">
            <v>0</v>
          </cell>
          <cell r="E1491" t="str">
            <v>节温器壳体</v>
          </cell>
          <cell r="F1491">
            <v>140.13</v>
          </cell>
        </row>
        <row r="1492">
          <cell r="B1492">
            <v>5303573</v>
          </cell>
        </row>
        <row r="1492">
          <cell r="D1492" t="str">
            <v>ISF2.8</v>
          </cell>
          <cell r="E1492" t="str">
            <v>节温器壳体</v>
          </cell>
          <cell r="F1492">
            <v>61.125</v>
          </cell>
        </row>
        <row r="1493">
          <cell r="B1493">
            <v>5293669</v>
          </cell>
          <cell r="C1493">
            <v>5264757</v>
          </cell>
          <cell r="D1493" t="str">
            <v>ISF2.8</v>
          </cell>
          <cell r="E1493" t="str">
            <v>节温器壳体</v>
          </cell>
          <cell r="F1493">
            <v>58.44</v>
          </cell>
        </row>
        <row r="1494">
          <cell r="B1494">
            <v>3696558</v>
          </cell>
        </row>
        <row r="1494">
          <cell r="D1494" t="str">
            <v>ISG</v>
          </cell>
          <cell r="E1494" t="str">
            <v>节温器</v>
          </cell>
          <cell r="F1494">
            <v>59.1957</v>
          </cell>
        </row>
        <row r="1495">
          <cell r="B1495">
            <v>5337967</v>
          </cell>
          <cell r="C1495" t="str">
            <v>4983796/5257076</v>
          </cell>
          <cell r="D1495" t="str">
            <v>ISF2.8</v>
          </cell>
          <cell r="E1495" t="str">
            <v>节温器</v>
          </cell>
          <cell r="F1495">
            <v>47.3688</v>
          </cell>
        </row>
        <row r="1496">
          <cell r="B1496">
            <v>5527882</v>
          </cell>
        </row>
        <row r="1496">
          <cell r="D1496" t="str">
            <v>ISF3.8</v>
          </cell>
          <cell r="E1496" t="str">
            <v>节温器</v>
          </cell>
          <cell r="F1496">
            <v>40.86</v>
          </cell>
        </row>
        <row r="1497">
          <cell r="B1497">
            <v>3696214</v>
          </cell>
        </row>
        <row r="1497">
          <cell r="D1497" t="str">
            <v>ISG</v>
          </cell>
          <cell r="E1497" t="str">
            <v>节温器</v>
          </cell>
          <cell r="F1497">
            <v>46.0683</v>
          </cell>
        </row>
        <row r="1498">
          <cell r="B1498">
            <v>3696215</v>
          </cell>
        </row>
        <row r="1498">
          <cell r="D1498">
            <v>0</v>
          </cell>
          <cell r="E1498" t="str">
            <v>节温器</v>
          </cell>
          <cell r="F1498">
            <v>46.0683</v>
          </cell>
        </row>
        <row r="1499">
          <cell r="B1499">
            <v>5337966</v>
          </cell>
          <cell r="C1499" t="str">
            <v>5256423/5292708/4929642</v>
          </cell>
          <cell r="D1499" t="str">
            <v>ISF3.8</v>
          </cell>
          <cell r="E1499" t="str">
            <v>节温器</v>
          </cell>
          <cell r="F1499">
            <v>36.55</v>
          </cell>
        </row>
        <row r="1500">
          <cell r="B1500">
            <v>5311207</v>
          </cell>
        </row>
        <row r="1500">
          <cell r="D1500">
            <v>0</v>
          </cell>
          <cell r="E1500" t="str">
            <v>节流孔接头</v>
          </cell>
          <cell r="F1500">
            <v>12.36</v>
          </cell>
        </row>
        <row r="1501">
          <cell r="B1501">
            <v>5334056</v>
          </cell>
        </row>
        <row r="1501">
          <cell r="D1501">
            <v>0</v>
          </cell>
          <cell r="E1501" t="str">
            <v>节流孔接头</v>
          </cell>
          <cell r="F1501">
            <v>11.52</v>
          </cell>
        </row>
        <row r="1502">
          <cell r="B1502">
            <v>5256873</v>
          </cell>
        </row>
        <row r="1502">
          <cell r="D1502" t="str">
            <v>ISF3.8</v>
          </cell>
          <cell r="E1502" t="str">
            <v>节流孔接头</v>
          </cell>
          <cell r="F1502">
            <v>8.07</v>
          </cell>
        </row>
        <row r="1503">
          <cell r="B1503">
            <v>3693451</v>
          </cell>
        </row>
        <row r="1503">
          <cell r="D1503">
            <v>0</v>
          </cell>
          <cell r="E1503" t="str">
            <v>节流阀轴</v>
          </cell>
          <cell r="F1503">
            <v>73.5318</v>
          </cell>
        </row>
        <row r="1504">
          <cell r="B1504">
            <v>5612186</v>
          </cell>
        </row>
        <row r="1504">
          <cell r="D1504">
            <v>0</v>
          </cell>
          <cell r="E1504" t="str">
            <v>节流阀垫片</v>
          </cell>
          <cell r="F1504">
            <v>8.12</v>
          </cell>
        </row>
        <row r="1505">
          <cell r="B1505">
            <v>5348235</v>
          </cell>
        </row>
        <row r="1505">
          <cell r="D1505">
            <v>0</v>
          </cell>
          <cell r="E1505" t="str">
            <v>接线支架</v>
          </cell>
          <cell r="F1505">
            <v>6.18</v>
          </cell>
        </row>
        <row r="1506">
          <cell r="B1506">
            <v>5689180</v>
          </cell>
        </row>
        <row r="1506">
          <cell r="D1506">
            <v>0</v>
          </cell>
          <cell r="E1506" t="str">
            <v>接线保护罩</v>
          </cell>
          <cell r="F1506">
            <v>14.3</v>
          </cell>
        </row>
        <row r="1507">
          <cell r="B1507">
            <v>5689181</v>
          </cell>
        </row>
        <row r="1507">
          <cell r="D1507">
            <v>0</v>
          </cell>
          <cell r="E1507" t="str">
            <v>接线保护罩</v>
          </cell>
          <cell r="F1507">
            <v>6.73</v>
          </cell>
        </row>
        <row r="1508">
          <cell r="B1508">
            <v>5661470</v>
          </cell>
        </row>
        <row r="1508">
          <cell r="D1508">
            <v>0</v>
          </cell>
          <cell r="E1508" t="str">
            <v>接头</v>
          </cell>
          <cell r="F1508">
            <v>40.54</v>
          </cell>
        </row>
        <row r="1509">
          <cell r="B1509">
            <v>5527543</v>
          </cell>
        </row>
        <row r="1509">
          <cell r="D1509" t="str">
            <v>ISF2.8</v>
          </cell>
          <cell r="E1509" t="str">
            <v>阶梯限位螺栓</v>
          </cell>
          <cell r="F1509">
            <v>6.8</v>
          </cell>
        </row>
        <row r="1510">
          <cell r="B1510">
            <v>5361698</v>
          </cell>
        </row>
        <row r="1510">
          <cell r="D1510">
            <v>0</v>
          </cell>
          <cell r="E1510" t="str">
            <v>阶梯限位螺栓</v>
          </cell>
          <cell r="F1510">
            <v>4.83</v>
          </cell>
        </row>
        <row r="1511">
          <cell r="B1511">
            <v>5255271</v>
          </cell>
        </row>
        <row r="1511">
          <cell r="D1511">
            <v>0</v>
          </cell>
          <cell r="E1511" t="str">
            <v>阶梯限位螺栓</v>
          </cell>
          <cell r="F1511">
            <v>4.23</v>
          </cell>
        </row>
        <row r="1512">
          <cell r="B1512">
            <v>3955220</v>
          </cell>
        </row>
        <row r="1512">
          <cell r="D1512">
            <v>0</v>
          </cell>
          <cell r="E1512" t="str">
            <v>减振块</v>
          </cell>
          <cell r="F1512">
            <v>21.84</v>
          </cell>
        </row>
        <row r="1513">
          <cell r="B1513">
            <v>3919359</v>
          </cell>
        </row>
        <row r="1513">
          <cell r="D1513">
            <v>0</v>
          </cell>
          <cell r="E1513" t="str">
            <v>减振块</v>
          </cell>
          <cell r="F1513">
            <v>18.56</v>
          </cell>
        </row>
        <row r="1514">
          <cell r="B1514">
            <v>3955219</v>
          </cell>
        </row>
        <row r="1514">
          <cell r="D1514">
            <v>0</v>
          </cell>
          <cell r="E1514" t="str">
            <v>减振块</v>
          </cell>
          <cell r="F1514">
            <v>18.21</v>
          </cell>
        </row>
        <row r="1515">
          <cell r="B1515">
            <v>5564859</v>
          </cell>
        </row>
        <row r="1515">
          <cell r="D1515" t="str">
            <v>ISF3.8</v>
          </cell>
          <cell r="E1515" t="str">
            <v>减振块</v>
          </cell>
          <cell r="F1515">
            <v>13.4</v>
          </cell>
        </row>
        <row r="1516">
          <cell r="B1516">
            <v>5364879</v>
          </cell>
        </row>
        <row r="1516">
          <cell r="D1516">
            <v>0</v>
          </cell>
          <cell r="E1516" t="str">
            <v>夹紧环</v>
          </cell>
          <cell r="F1516">
            <v>64.2</v>
          </cell>
        </row>
        <row r="1517">
          <cell r="B1517">
            <v>3915490</v>
          </cell>
        </row>
        <row r="1517">
          <cell r="D1517" t="str">
            <v>ISF2.8</v>
          </cell>
          <cell r="E1517" t="str">
            <v>夹紧板</v>
          </cell>
          <cell r="F1517">
            <v>19.71</v>
          </cell>
        </row>
        <row r="1518">
          <cell r="B1518">
            <v>4990384</v>
          </cell>
        </row>
        <row r="1518">
          <cell r="D1518" t="str">
            <v>ISF2.8</v>
          </cell>
          <cell r="E1518" t="str">
            <v>夹紧板</v>
          </cell>
          <cell r="F1518">
            <v>18.306</v>
          </cell>
        </row>
        <row r="1519">
          <cell r="B1519">
            <v>3978479</v>
          </cell>
        </row>
        <row r="1519">
          <cell r="D1519" t="str">
            <v>ISF3.8</v>
          </cell>
          <cell r="E1519" t="str">
            <v>夹紧板</v>
          </cell>
          <cell r="F1519">
            <v>17.54</v>
          </cell>
        </row>
        <row r="1520">
          <cell r="B1520">
            <v>3697288</v>
          </cell>
        </row>
        <row r="1520">
          <cell r="D1520">
            <v>0</v>
          </cell>
          <cell r="E1520" t="str">
            <v>夹紧板</v>
          </cell>
          <cell r="F1520">
            <v>15.62</v>
          </cell>
        </row>
        <row r="1521">
          <cell r="B1521">
            <v>3697290</v>
          </cell>
        </row>
        <row r="1521">
          <cell r="D1521">
            <v>0</v>
          </cell>
          <cell r="E1521" t="str">
            <v>夹紧板</v>
          </cell>
          <cell r="F1521">
            <v>14.48</v>
          </cell>
        </row>
        <row r="1522">
          <cell r="B1522">
            <v>3697289</v>
          </cell>
        </row>
        <row r="1522">
          <cell r="D1522">
            <v>0</v>
          </cell>
          <cell r="E1522" t="str">
            <v>夹紧板</v>
          </cell>
          <cell r="F1522">
            <v>13.49</v>
          </cell>
        </row>
        <row r="1523">
          <cell r="B1523">
            <v>3697689</v>
          </cell>
        </row>
        <row r="1523">
          <cell r="D1523">
            <v>0</v>
          </cell>
          <cell r="E1523" t="str">
            <v>夹紧板</v>
          </cell>
          <cell r="F1523">
            <v>13.49</v>
          </cell>
        </row>
        <row r="1524">
          <cell r="B1524">
            <v>3696975</v>
          </cell>
        </row>
        <row r="1524">
          <cell r="D1524">
            <v>0</v>
          </cell>
          <cell r="E1524" t="str">
            <v>加热器</v>
          </cell>
          <cell r="F1524">
            <v>623.5</v>
          </cell>
        </row>
        <row r="1525">
          <cell r="B1525">
            <v>3695805</v>
          </cell>
        </row>
        <row r="1525">
          <cell r="D1525">
            <v>0</v>
          </cell>
          <cell r="E1525" t="str">
            <v>加热器</v>
          </cell>
          <cell r="F1525">
            <v>195.15</v>
          </cell>
        </row>
        <row r="1526">
          <cell r="B1526">
            <v>5255310</v>
          </cell>
        </row>
        <row r="1526">
          <cell r="D1526" t="str">
            <v>ISF2.8</v>
          </cell>
          <cell r="E1526" t="str">
            <v>加机油口盖(国五康瑞H3)</v>
          </cell>
          <cell r="F1526">
            <v>44.6607</v>
          </cell>
        </row>
        <row r="1527">
          <cell r="B1527">
            <v>5317270</v>
          </cell>
          <cell r="C1527">
            <v>4946237</v>
          </cell>
          <cell r="D1527" t="str">
            <v>ISF3.8</v>
          </cell>
          <cell r="E1527" t="str">
            <v>加机油口盖</v>
          </cell>
          <cell r="F1527">
            <v>15.2</v>
          </cell>
        </row>
        <row r="1528">
          <cell r="B1528">
            <v>3697743</v>
          </cell>
        </row>
        <row r="1528">
          <cell r="D1528">
            <v>0</v>
          </cell>
          <cell r="E1528" t="str">
            <v>加机油管</v>
          </cell>
          <cell r="F1528">
            <v>154.59</v>
          </cell>
        </row>
        <row r="1529">
          <cell r="B1529">
            <v>3697807</v>
          </cell>
        </row>
        <row r="1529">
          <cell r="D1529">
            <v>0</v>
          </cell>
          <cell r="E1529" t="str">
            <v>加机油管</v>
          </cell>
          <cell r="F1529">
            <v>133.64</v>
          </cell>
        </row>
        <row r="1530">
          <cell r="B1530">
            <v>3697283</v>
          </cell>
        </row>
        <row r="1530">
          <cell r="D1530">
            <v>0</v>
          </cell>
          <cell r="E1530" t="str">
            <v>机油吸油管</v>
          </cell>
          <cell r="F1530">
            <v>146.1762</v>
          </cell>
        </row>
        <row r="1531">
          <cell r="B1531">
            <v>5669031</v>
          </cell>
          <cell r="C1531">
            <v>5481175</v>
          </cell>
          <cell r="D1531" t="str">
            <v>ISF2.8</v>
          </cell>
          <cell r="E1531" t="str">
            <v>机油吸油管</v>
          </cell>
          <cell r="F1531">
            <v>78.8103</v>
          </cell>
        </row>
        <row r="1532">
          <cell r="B1532">
            <v>5479090</v>
          </cell>
        </row>
        <row r="1532">
          <cell r="D1532" t="str">
            <v>ISF3.8</v>
          </cell>
          <cell r="E1532" t="str">
            <v>机油调压阀柱塞</v>
          </cell>
          <cell r="F1532">
            <v>14.66</v>
          </cell>
        </row>
        <row r="1533">
          <cell r="B1533">
            <v>5529236</v>
          </cell>
        </row>
        <row r="1533">
          <cell r="D1533">
            <v>0</v>
          </cell>
          <cell r="E1533" t="str">
            <v>机油输油连接件</v>
          </cell>
          <cell r="F1533">
            <v>54.95</v>
          </cell>
        </row>
        <row r="1534">
          <cell r="B1534">
            <v>5396179</v>
          </cell>
        </row>
        <row r="1534">
          <cell r="D1534">
            <v>0</v>
          </cell>
          <cell r="E1534" t="str">
            <v>机油输油连接件</v>
          </cell>
          <cell r="F1534">
            <v>52.9533</v>
          </cell>
        </row>
        <row r="1535">
          <cell r="B1535">
            <v>5365719</v>
          </cell>
        </row>
        <row r="1535">
          <cell r="D1535" t="str">
            <v>ISF2.8</v>
          </cell>
          <cell r="E1535" t="str">
            <v>机油输油连接件</v>
          </cell>
          <cell r="F1535">
            <v>41.1723</v>
          </cell>
        </row>
        <row r="1536">
          <cell r="B1536">
            <v>5266776</v>
          </cell>
        </row>
        <row r="1536">
          <cell r="D1536">
            <v>0</v>
          </cell>
          <cell r="E1536" t="str">
            <v>机油输油连接件</v>
          </cell>
          <cell r="F1536">
            <v>38.92</v>
          </cell>
        </row>
        <row r="1537">
          <cell r="B1537">
            <v>4983279</v>
          </cell>
        </row>
        <row r="1537">
          <cell r="D1537" t="str">
            <v>ISF2.8</v>
          </cell>
          <cell r="E1537" t="str">
            <v>机油输油连接件</v>
          </cell>
          <cell r="F1537">
            <v>38.18</v>
          </cell>
        </row>
        <row r="1538">
          <cell r="B1538">
            <v>3695681</v>
          </cell>
        </row>
        <row r="1538">
          <cell r="D1538">
            <v>0</v>
          </cell>
          <cell r="E1538" t="str">
            <v>机油输油管</v>
          </cell>
          <cell r="F1538">
            <v>36.2304</v>
          </cell>
        </row>
        <row r="1539">
          <cell r="B1539">
            <v>5529598</v>
          </cell>
        </row>
        <row r="1539">
          <cell r="D1539" t="str">
            <v>ISF2.8</v>
          </cell>
          <cell r="E1539" t="str">
            <v>机油滤清器座</v>
          </cell>
          <cell r="F1539">
            <v>479.04</v>
          </cell>
        </row>
        <row r="1540">
          <cell r="B1540" t="str">
            <v>S5266016A2076</v>
          </cell>
          <cell r="C1540" t="str">
            <v>S5262313A2076/LF17356</v>
          </cell>
          <cell r="D1540" t="str">
            <v>ISF2.8</v>
          </cell>
          <cell r="E1540" t="str">
            <v>机油滤清器</v>
          </cell>
          <cell r="F1540">
            <v>70.3</v>
          </cell>
        </row>
        <row r="1541">
          <cell r="B1541">
            <v>5620258</v>
          </cell>
          <cell r="C1541">
            <v>5477578</v>
          </cell>
          <cell r="D1541" t="str">
            <v>ISF2.8</v>
          </cell>
          <cell r="E1541" t="str">
            <v>机油连接件</v>
          </cell>
          <cell r="F1541">
            <v>49.9086</v>
          </cell>
        </row>
        <row r="1542">
          <cell r="B1542">
            <v>3696552</v>
          </cell>
        </row>
        <row r="1542">
          <cell r="D1542" t="str">
            <v>ISG</v>
          </cell>
          <cell r="E1542" t="str">
            <v>机油冷却器座密封垫</v>
          </cell>
          <cell r="F1542">
            <v>44.7525</v>
          </cell>
        </row>
        <row r="1543">
          <cell r="B1543">
            <v>5336808</v>
          </cell>
        </row>
        <row r="1543">
          <cell r="D1543">
            <v>0</v>
          </cell>
          <cell r="E1543" t="str">
            <v>机油冷却器座密封垫</v>
          </cell>
          <cell r="F1543">
            <v>27.1575</v>
          </cell>
        </row>
        <row r="1544">
          <cell r="B1544">
            <v>5262903</v>
          </cell>
        </row>
        <row r="1544">
          <cell r="D1544" t="str">
            <v>ISF2.8/3.8</v>
          </cell>
          <cell r="E1544" t="str">
            <v>机油冷却器座密封垫</v>
          </cell>
          <cell r="F1544">
            <v>24.9084</v>
          </cell>
        </row>
        <row r="1545">
          <cell r="B1545">
            <v>5536733</v>
          </cell>
        </row>
        <row r="1545">
          <cell r="D1545">
            <v>0</v>
          </cell>
          <cell r="E1545" t="str">
            <v>机油冷却器座</v>
          </cell>
          <cell r="F1545">
            <v>557.0883</v>
          </cell>
        </row>
        <row r="1546">
          <cell r="B1546">
            <v>5557887</v>
          </cell>
        </row>
        <row r="1546">
          <cell r="D1546">
            <v>0</v>
          </cell>
          <cell r="E1546" t="str">
            <v>机油冷却器座</v>
          </cell>
          <cell r="F1546">
            <v>470.9034</v>
          </cell>
        </row>
        <row r="1547">
          <cell r="B1547">
            <v>5681401</v>
          </cell>
          <cell r="C1547">
            <v>5337057</v>
          </cell>
          <cell r="D1547">
            <v>0</v>
          </cell>
          <cell r="E1547" t="str">
            <v>机油冷却器总成</v>
          </cell>
          <cell r="F1547">
            <v>1298.37</v>
          </cell>
        </row>
        <row r="1548">
          <cell r="B1548" t="str">
            <v>D2830559</v>
          </cell>
        </row>
        <row r="1548">
          <cell r="D1548">
            <v>0</v>
          </cell>
          <cell r="E1548" t="str">
            <v>机油冷却器芯密封垫</v>
          </cell>
          <cell r="F1548">
            <v>47.124</v>
          </cell>
        </row>
        <row r="1549">
          <cell r="B1549">
            <v>5580116</v>
          </cell>
        </row>
        <row r="1549">
          <cell r="D1549">
            <v>0</v>
          </cell>
          <cell r="E1549" t="str">
            <v>机油冷却器芯</v>
          </cell>
          <cell r="F1549">
            <v>622.4346</v>
          </cell>
        </row>
        <row r="1550">
          <cell r="B1550">
            <v>5576061</v>
          </cell>
        </row>
        <row r="1550">
          <cell r="D1550">
            <v>0</v>
          </cell>
          <cell r="E1550" t="str">
            <v>机油冷却器芯</v>
          </cell>
          <cell r="F1550">
            <v>504.3951</v>
          </cell>
        </row>
        <row r="1551">
          <cell r="B1551">
            <v>3692476</v>
          </cell>
        </row>
        <row r="1551">
          <cell r="D1551">
            <v>0</v>
          </cell>
          <cell r="E1551" t="str">
            <v>机油冷却器芯</v>
          </cell>
          <cell r="F1551">
            <v>486.2034</v>
          </cell>
        </row>
        <row r="1552">
          <cell r="B1552">
            <v>5395822</v>
          </cell>
        </row>
        <row r="1552">
          <cell r="D1552">
            <v>0</v>
          </cell>
          <cell r="E1552" t="str">
            <v>机油冷却器芯</v>
          </cell>
          <cell r="F1552">
            <v>233.0955</v>
          </cell>
        </row>
        <row r="1553">
          <cell r="B1553">
            <v>4990291</v>
          </cell>
          <cell r="C1553">
            <v>4945586</v>
          </cell>
          <cell r="D1553" t="str">
            <v>ISF3.8</v>
          </cell>
          <cell r="E1553" t="str">
            <v>机油冷却器芯</v>
          </cell>
          <cell r="F1553">
            <v>198.1044</v>
          </cell>
        </row>
        <row r="1554">
          <cell r="B1554">
            <v>5681404</v>
          </cell>
          <cell r="C1554" t="str">
            <v>5445753/5335971</v>
          </cell>
          <cell r="D1554" t="str">
            <v>ISF2.8</v>
          </cell>
          <cell r="E1554" t="str">
            <v>机油冷却器模块（国四康瑞H3）</v>
          </cell>
          <cell r="F1554">
            <v>1307.09</v>
          </cell>
        </row>
        <row r="1555">
          <cell r="B1555">
            <v>5567551</v>
          </cell>
        </row>
        <row r="1555">
          <cell r="D1555">
            <v>0</v>
          </cell>
          <cell r="E1555" t="str">
            <v>机油冷却器模块</v>
          </cell>
          <cell r="F1555">
            <v>888.5628</v>
          </cell>
        </row>
        <row r="1556">
          <cell r="B1556">
            <v>4990276</v>
          </cell>
          <cell r="C1556">
            <v>5521026</v>
          </cell>
          <cell r="D1556" t="str">
            <v>ISF3.8</v>
          </cell>
          <cell r="E1556" t="str">
            <v>机油冷却器壳体密封垫</v>
          </cell>
          <cell r="F1556">
            <v>22.01</v>
          </cell>
        </row>
        <row r="1557">
          <cell r="B1557">
            <v>5478223</v>
          </cell>
        </row>
        <row r="1557">
          <cell r="D1557" t="str">
            <v>ISF2.8</v>
          </cell>
          <cell r="E1557" t="str">
            <v>机油冷却器壳体密封垫</v>
          </cell>
          <cell r="F1557">
            <v>17.56</v>
          </cell>
        </row>
        <row r="1558">
          <cell r="B1558">
            <v>5302412</v>
          </cell>
        </row>
        <row r="1558">
          <cell r="D1558">
            <v>0</v>
          </cell>
          <cell r="E1558" t="str">
            <v>机油冷却器壳体</v>
          </cell>
          <cell r="F1558">
            <v>462.4884</v>
          </cell>
        </row>
        <row r="1559">
          <cell r="B1559">
            <v>6388401</v>
          </cell>
          <cell r="C1559" t="str">
            <v>5262810/5284441</v>
          </cell>
          <cell r="D1559" t="str">
            <v>ISF3.8</v>
          </cell>
          <cell r="E1559" t="str">
            <v>机油冷却器壳体</v>
          </cell>
          <cell r="F1559">
            <v>407.8215</v>
          </cell>
        </row>
        <row r="1560">
          <cell r="B1560">
            <v>5267094</v>
          </cell>
        </row>
        <row r="1560">
          <cell r="D1560" t="str">
            <v>ISF3.8</v>
          </cell>
          <cell r="E1560" t="str">
            <v>机油冷却器壳体</v>
          </cell>
          <cell r="F1560">
            <v>407.8062</v>
          </cell>
        </row>
        <row r="1561">
          <cell r="B1561">
            <v>5670418</v>
          </cell>
          <cell r="C1561" t="str">
            <v>5302887/5474752/5569573</v>
          </cell>
          <cell r="D1561" t="str">
            <v>ISF2.8</v>
          </cell>
          <cell r="E1561" t="str">
            <v>机油冷却器（国四）</v>
          </cell>
          <cell r="F1561">
            <v>1332.0027</v>
          </cell>
        </row>
        <row r="1562">
          <cell r="B1562">
            <v>5670414</v>
          </cell>
          <cell r="C1562">
            <v>5302884</v>
          </cell>
          <cell r="D1562" t="str">
            <v>ISF2.8</v>
          </cell>
          <cell r="E1562" t="str">
            <v>机油冷却器（国三）</v>
          </cell>
          <cell r="F1562">
            <v>1332.0027</v>
          </cell>
        </row>
        <row r="1563">
          <cell r="B1563">
            <v>5575995</v>
          </cell>
        </row>
        <row r="1563">
          <cell r="D1563">
            <v>0</v>
          </cell>
          <cell r="E1563" t="str">
            <v>机油冷却器</v>
          </cell>
          <cell r="F1563">
            <v>2792.93</v>
          </cell>
        </row>
        <row r="1564">
          <cell r="B1564">
            <v>5575994</v>
          </cell>
        </row>
        <row r="1564">
          <cell r="D1564">
            <v>0</v>
          </cell>
          <cell r="E1564" t="str">
            <v>机油冷却器</v>
          </cell>
          <cell r="F1564">
            <v>2541.57</v>
          </cell>
        </row>
        <row r="1565">
          <cell r="B1565">
            <v>5536714</v>
          </cell>
          <cell r="C1565" t="str">
            <v>5536708/5486679/3691941</v>
          </cell>
          <cell r="D1565" t="str">
            <v>ISG</v>
          </cell>
          <cell r="E1565" t="str">
            <v>机油冷却器</v>
          </cell>
          <cell r="F1565">
            <v>2894.2857</v>
          </cell>
        </row>
        <row r="1566">
          <cell r="B1566">
            <v>5536715</v>
          </cell>
        </row>
        <row r="1566">
          <cell r="D1566">
            <v>0</v>
          </cell>
          <cell r="E1566" t="str">
            <v>机油冷却器</v>
          </cell>
          <cell r="F1566">
            <v>2531.6451</v>
          </cell>
        </row>
        <row r="1567">
          <cell r="B1567">
            <v>5612012</v>
          </cell>
        </row>
        <row r="1567">
          <cell r="D1567">
            <v>0</v>
          </cell>
          <cell r="E1567" t="str">
            <v>机油冷却器</v>
          </cell>
          <cell r="F1567">
            <v>2117.98</v>
          </cell>
        </row>
        <row r="1568">
          <cell r="B1568">
            <v>5575992</v>
          </cell>
        </row>
        <row r="1568">
          <cell r="D1568">
            <v>0</v>
          </cell>
          <cell r="E1568" t="str">
            <v>机油冷却器</v>
          </cell>
          <cell r="F1568">
            <v>1988.35</v>
          </cell>
        </row>
        <row r="1569">
          <cell r="B1569">
            <v>5681964</v>
          </cell>
        </row>
        <row r="1569">
          <cell r="D1569" t="str">
            <v>ISF2.8</v>
          </cell>
          <cell r="E1569" t="str">
            <v>机油冷却器</v>
          </cell>
          <cell r="F1569">
            <v>1336.0572</v>
          </cell>
        </row>
        <row r="1570">
          <cell r="B1570">
            <v>5586962</v>
          </cell>
        </row>
        <row r="1570">
          <cell r="D1570">
            <v>0</v>
          </cell>
          <cell r="E1570" t="str">
            <v>机油冷却器</v>
          </cell>
          <cell r="F1570">
            <v>990.9351</v>
          </cell>
        </row>
        <row r="1571">
          <cell r="B1571">
            <v>5564651</v>
          </cell>
        </row>
        <row r="1571">
          <cell r="D1571">
            <v>0</v>
          </cell>
          <cell r="E1571" t="str">
            <v>机油冷却器</v>
          </cell>
          <cell r="F1571">
            <v>947.8</v>
          </cell>
        </row>
        <row r="1572">
          <cell r="B1572">
            <v>5564650</v>
          </cell>
        </row>
        <row r="1572">
          <cell r="D1572">
            <v>0</v>
          </cell>
          <cell r="E1572" t="str">
            <v>机油冷却器</v>
          </cell>
          <cell r="F1572">
            <v>950.1453</v>
          </cell>
        </row>
        <row r="1573">
          <cell r="B1573">
            <v>5306480</v>
          </cell>
        </row>
        <row r="1573">
          <cell r="D1573">
            <v>0</v>
          </cell>
          <cell r="E1573" t="str">
            <v>机油冷却器</v>
          </cell>
          <cell r="F1573">
            <v>923.9364</v>
          </cell>
        </row>
        <row r="1574">
          <cell r="B1574">
            <v>5564653</v>
          </cell>
        </row>
        <row r="1574">
          <cell r="D1574">
            <v>0</v>
          </cell>
          <cell r="E1574" t="str">
            <v>机油冷却器</v>
          </cell>
          <cell r="F1574">
            <v>884.1105</v>
          </cell>
        </row>
        <row r="1575">
          <cell r="B1575">
            <v>5567549</v>
          </cell>
        </row>
        <row r="1575">
          <cell r="D1575">
            <v>0</v>
          </cell>
          <cell r="E1575" t="str">
            <v>机油冷却器</v>
          </cell>
          <cell r="F1575">
            <v>872.2836</v>
          </cell>
        </row>
        <row r="1576">
          <cell r="B1576">
            <v>5565414</v>
          </cell>
        </row>
        <row r="1576">
          <cell r="D1576" t="str">
            <v>ISF3.8</v>
          </cell>
          <cell r="E1576" t="str">
            <v>机油冷却器</v>
          </cell>
          <cell r="F1576">
            <v>828.0513</v>
          </cell>
        </row>
        <row r="1577">
          <cell r="B1577">
            <v>5318533</v>
          </cell>
          <cell r="C1577">
            <v>5266955</v>
          </cell>
          <cell r="D1577" t="str">
            <v>ISF2.8</v>
          </cell>
          <cell r="E1577" t="str">
            <v>机油冷却器</v>
          </cell>
          <cell r="F1577">
            <v>347.9526</v>
          </cell>
        </row>
        <row r="1578">
          <cell r="B1578">
            <v>5334116</v>
          </cell>
        </row>
        <row r="1578">
          <cell r="D1578">
            <v>0</v>
          </cell>
          <cell r="E1578" t="str">
            <v>机油回油管</v>
          </cell>
          <cell r="F1578">
            <v>76.3776</v>
          </cell>
        </row>
        <row r="1579">
          <cell r="B1579">
            <v>5584682</v>
          </cell>
        </row>
        <row r="1579">
          <cell r="D1579">
            <v>0</v>
          </cell>
          <cell r="E1579" t="str">
            <v>机油回油管</v>
          </cell>
          <cell r="F1579">
            <v>58.2318</v>
          </cell>
        </row>
        <row r="1580">
          <cell r="B1580">
            <v>5562128</v>
          </cell>
        </row>
        <row r="1580">
          <cell r="D1580">
            <v>0</v>
          </cell>
          <cell r="E1580" t="str">
            <v>机油回油管</v>
          </cell>
          <cell r="F1580">
            <v>46.512</v>
          </cell>
        </row>
        <row r="1581">
          <cell r="B1581">
            <v>5686634</v>
          </cell>
        </row>
        <row r="1581">
          <cell r="D1581">
            <v>0</v>
          </cell>
          <cell r="E1581" t="str">
            <v>机油供油管</v>
          </cell>
          <cell r="F1581">
            <v>43.8498</v>
          </cell>
        </row>
        <row r="1582">
          <cell r="B1582">
            <v>5305421</v>
          </cell>
        </row>
        <row r="1582">
          <cell r="D1582">
            <v>0</v>
          </cell>
          <cell r="E1582" t="str">
            <v>机油尺支架</v>
          </cell>
          <cell r="F1582">
            <v>11.16</v>
          </cell>
        </row>
        <row r="1583">
          <cell r="B1583">
            <v>3696331</v>
          </cell>
        </row>
        <row r="1583">
          <cell r="D1583">
            <v>0</v>
          </cell>
          <cell r="E1583" t="str">
            <v>机油标尺管</v>
          </cell>
          <cell r="F1583">
            <v>64.3518</v>
          </cell>
        </row>
        <row r="1584">
          <cell r="B1584">
            <v>3696329</v>
          </cell>
        </row>
        <row r="1584">
          <cell r="D1584">
            <v>0</v>
          </cell>
          <cell r="E1584" t="str">
            <v>机油标尺管</v>
          </cell>
          <cell r="F1584">
            <v>46.17</v>
          </cell>
        </row>
        <row r="1585">
          <cell r="B1585">
            <v>5258898</v>
          </cell>
        </row>
        <row r="1585">
          <cell r="D1585">
            <v>0</v>
          </cell>
          <cell r="E1585" t="str">
            <v>机油标尺管</v>
          </cell>
          <cell r="F1585">
            <v>29.8</v>
          </cell>
        </row>
        <row r="1586">
          <cell r="B1586">
            <v>5254791</v>
          </cell>
        </row>
        <row r="1586">
          <cell r="D1586">
            <v>0</v>
          </cell>
          <cell r="E1586" t="str">
            <v>机油标尺管</v>
          </cell>
          <cell r="F1586">
            <v>24.9543</v>
          </cell>
        </row>
        <row r="1587">
          <cell r="B1587">
            <v>4930983</v>
          </cell>
        </row>
        <row r="1587">
          <cell r="D1587" t="str">
            <v>ISF2.8/3.8</v>
          </cell>
          <cell r="E1587" t="str">
            <v>机油标尺管</v>
          </cell>
          <cell r="F1587">
            <v>10.2</v>
          </cell>
        </row>
        <row r="1588">
          <cell r="B1588">
            <v>5614320</v>
          </cell>
        </row>
        <row r="1588">
          <cell r="D1588">
            <v>0</v>
          </cell>
          <cell r="E1588" t="str">
            <v>机油标尺</v>
          </cell>
          <cell r="F1588">
            <v>131.08</v>
          </cell>
        </row>
        <row r="1589">
          <cell r="B1589">
            <v>3697522</v>
          </cell>
        </row>
        <row r="1589">
          <cell r="D1589">
            <v>0</v>
          </cell>
          <cell r="E1589" t="str">
            <v>机油标尺</v>
          </cell>
          <cell r="F1589">
            <v>98.06</v>
          </cell>
        </row>
        <row r="1590">
          <cell r="B1590">
            <v>3697524</v>
          </cell>
        </row>
        <row r="1590">
          <cell r="D1590">
            <v>0</v>
          </cell>
          <cell r="E1590" t="str">
            <v>机油标尺</v>
          </cell>
          <cell r="F1590">
            <v>98.06</v>
          </cell>
        </row>
        <row r="1591">
          <cell r="B1591">
            <v>5342045</v>
          </cell>
        </row>
        <row r="1591">
          <cell r="D1591">
            <v>0</v>
          </cell>
          <cell r="E1591" t="str">
            <v>机油标尺</v>
          </cell>
          <cell r="F1591">
            <v>90.16</v>
          </cell>
        </row>
        <row r="1592">
          <cell r="B1592">
            <v>5592138</v>
          </cell>
        </row>
        <row r="1592">
          <cell r="D1592">
            <v>0</v>
          </cell>
          <cell r="E1592" t="str">
            <v>机油标尺</v>
          </cell>
          <cell r="F1592">
            <v>98.3943</v>
          </cell>
        </row>
        <row r="1593">
          <cell r="B1593">
            <v>5445372</v>
          </cell>
        </row>
        <row r="1593">
          <cell r="D1593">
            <v>0</v>
          </cell>
          <cell r="E1593" t="str">
            <v>机油标尺</v>
          </cell>
          <cell r="F1593">
            <v>94.1409</v>
          </cell>
        </row>
        <row r="1594">
          <cell r="B1594">
            <v>5558025</v>
          </cell>
        </row>
        <row r="1594">
          <cell r="D1594">
            <v>0</v>
          </cell>
          <cell r="E1594" t="str">
            <v>机油标尺</v>
          </cell>
          <cell r="F1594">
            <v>87.04</v>
          </cell>
        </row>
        <row r="1595">
          <cell r="B1595">
            <v>5522991</v>
          </cell>
        </row>
        <row r="1595">
          <cell r="D1595" t="str">
            <v>ISF2.8</v>
          </cell>
          <cell r="E1595" t="str">
            <v>机油标尺</v>
          </cell>
          <cell r="F1595">
            <v>83.7</v>
          </cell>
        </row>
        <row r="1596">
          <cell r="B1596">
            <v>3697525</v>
          </cell>
        </row>
        <row r="1596">
          <cell r="D1596">
            <v>0</v>
          </cell>
          <cell r="E1596" t="str">
            <v>机油标尺</v>
          </cell>
          <cell r="F1596">
            <v>82.18</v>
          </cell>
        </row>
        <row r="1597">
          <cell r="B1597">
            <v>3697526</v>
          </cell>
        </row>
        <row r="1597">
          <cell r="D1597">
            <v>0</v>
          </cell>
          <cell r="E1597" t="str">
            <v>机油标尺</v>
          </cell>
          <cell r="F1597">
            <v>82.18</v>
          </cell>
        </row>
        <row r="1598">
          <cell r="B1598">
            <v>3697527</v>
          </cell>
        </row>
        <row r="1598">
          <cell r="D1598">
            <v>0</v>
          </cell>
          <cell r="E1598" t="str">
            <v>机油标尺</v>
          </cell>
          <cell r="F1598">
            <v>82.18</v>
          </cell>
        </row>
        <row r="1599">
          <cell r="B1599">
            <v>5333966</v>
          </cell>
        </row>
        <row r="1599">
          <cell r="D1599">
            <v>0</v>
          </cell>
          <cell r="E1599" t="str">
            <v>机油标尺</v>
          </cell>
          <cell r="F1599">
            <v>81.4878</v>
          </cell>
        </row>
        <row r="1600">
          <cell r="B1600">
            <v>3698459</v>
          </cell>
        </row>
        <row r="1600">
          <cell r="D1600">
            <v>0</v>
          </cell>
          <cell r="E1600" t="str">
            <v>机油标尺</v>
          </cell>
          <cell r="F1600">
            <v>78.04</v>
          </cell>
        </row>
        <row r="1601">
          <cell r="B1601">
            <v>5530414</v>
          </cell>
        </row>
        <row r="1601">
          <cell r="D1601">
            <v>0</v>
          </cell>
          <cell r="E1601" t="str">
            <v>机油标尺</v>
          </cell>
          <cell r="F1601">
            <v>77.8923</v>
          </cell>
        </row>
        <row r="1602">
          <cell r="B1602">
            <v>3696330</v>
          </cell>
        </row>
        <row r="1602">
          <cell r="D1602">
            <v>0</v>
          </cell>
          <cell r="E1602" t="str">
            <v>机油标尺</v>
          </cell>
          <cell r="F1602">
            <v>86.7204</v>
          </cell>
        </row>
        <row r="1603">
          <cell r="B1603">
            <v>5288830</v>
          </cell>
        </row>
        <row r="1603">
          <cell r="D1603">
            <v>0</v>
          </cell>
          <cell r="E1603" t="str">
            <v>机油标尺</v>
          </cell>
          <cell r="F1603">
            <v>73.9908</v>
          </cell>
        </row>
        <row r="1604">
          <cell r="B1604">
            <v>5666464</v>
          </cell>
        </row>
        <row r="1604">
          <cell r="D1604">
            <v>0</v>
          </cell>
          <cell r="E1604" t="str">
            <v>机油标尺</v>
          </cell>
          <cell r="F1604">
            <v>71.7723</v>
          </cell>
        </row>
        <row r="1605">
          <cell r="B1605">
            <v>3696332</v>
          </cell>
        </row>
        <row r="1605">
          <cell r="D1605" t="str">
            <v>ISG</v>
          </cell>
          <cell r="E1605" t="str">
            <v>机油标尺</v>
          </cell>
          <cell r="F1605">
            <v>72.7362</v>
          </cell>
        </row>
        <row r="1606">
          <cell r="B1606">
            <v>5296783</v>
          </cell>
        </row>
        <row r="1606">
          <cell r="D1606">
            <v>0</v>
          </cell>
          <cell r="E1606" t="str">
            <v>机油标尺</v>
          </cell>
          <cell r="F1606">
            <v>61.2765</v>
          </cell>
        </row>
        <row r="1607">
          <cell r="B1607">
            <v>5305418</v>
          </cell>
        </row>
        <row r="1607">
          <cell r="D1607">
            <v>0</v>
          </cell>
          <cell r="E1607" t="str">
            <v>机油标尺</v>
          </cell>
          <cell r="F1607">
            <v>61.047</v>
          </cell>
        </row>
        <row r="1608">
          <cell r="B1608">
            <v>5332214</v>
          </cell>
        </row>
        <row r="1608">
          <cell r="D1608">
            <v>0</v>
          </cell>
          <cell r="E1608" t="str">
            <v>机油标尺</v>
          </cell>
          <cell r="F1608">
            <v>59.0886</v>
          </cell>
        </row>
        <row r="1609">
          <cell r="B1609">
            <v>3697520</v>
          </cell>
        </row>
        <row r="1609">
          <cell r="D1609">
            <v>0</v>
          </cell>
          <cell r="E1609" t="str">
            <v>机油标尺</v>
          </cell>
          <cell r="F1609">
            <v>54.63</v>
          </cell>
        </row>
        <row r="1610">
          <cell r="B1610">
            <v>3697521</v>
          </cell>
        </row>
        <row r="1610">
          <cell r="D1610">
            <v>0</v>
          </cell>
          <cell r="E1610" t="str">
            <v>机油标尺</v>
          </cell>
          <cell r="F1610">
            <v>54.63</v>
          </cell>
        </row>
        <row r="1611">
          <cell r="B1611">
            <v>3697519</v>
          </cell>
        </row>
        <row r="1611">
          <cell r="D1611">
            <v>0</v>
          </cell>
          <cell r="E1611" t="str">
            <v>机油标尺</v>
          </cell>
          <cell r="F1611">
            <v>54.63</v>
          </cell>
        </row>
        <row r="1612">
          <cell r="B1612">
            <v>3693380</v>
          </cell>
        </row>
        <row r="1612">
          <cell r="D1612">
            <v>0</v>
          </cell>
          <cell r="E1612" t="str">
            <v>机油标尺</v>
          </cell>
          <cell r="F1612">
            <v>51.08</v>
          </cell>
        </row>
        <row r="1613">
          <cell r="B1613">
            <v>5288479</v>
          </cell>
        </row>
        <row r="1613">
          <cell r="D1613">
            <v>0</v>
          </cell>
          <cell r="E1613" t="str">
            <v>机油标尺</v>
          </cell>
          <cell r="F1613">
            <v>51.1938</v>
          </cell>
        </row>
        <row r="1614">
          <cell r="B1614">
            <v>5270760</v>
          </cell>
        </row>
        <row r="1614">
          <cell r="D1614">
            <v>0</v>
          </cell>
          <cell r="E1614" t="str">
            <v>机油标尺</v>
          </cell>
          <cell r="F1614">
            <v>50.031</v>
          </cell>
        </row>
        <row r="1615">
          <cell r="B1615">
            <v>5258900</v>
          </cell>
        </row>
        <row r="1615">
          <cell r="D1615">
            <v>0</v>
          </cell>
          <cell r="E1615" t="str">
            <v>机油标尺</v>
          </cell>
          <cell r="F1615">
            <v>49.9698</v>
          </cell>
        </row>
        <row r="1616">
          <cell r="B1616">
            <v>5342343</v>
          </cell>
        </row>
        <row r="1616">
          <cell r="D1616" t="str">
            <v>ISF3.8</v>
          </cell>
          <cell r="E1616" t="str">
            <v>机油标尺</v>
          </cell>
          <cell r="F1616">
            <v>49.0365</v>
          </cell>
        </row>
        <row r="1617">
          <cell r="B1617">
            <v>5254802</v>
          </cell>
        </row>
        <row r="1617">
          <cell r="D1617">
            <v>0</v>
          </cell>
          <cell r="E1617" t="str">
            <v>机油标尺</v>
          </cell>
          <cell r="F1617">
            <v>46.3284</v>
          </cell>
        </row>
        <row r="1618">
          <cell r="B1618">
            <v>5364140</v>
          </cell>
        </row>
        <row r="1618">
          <cell r="D1618">
            <v>0</v>
          </cell>
          <cell r="E1618" t="str">
            <v>机油标尺</v>
          </cell>
          <cell r="F1618">
            <v>32.82</v>
          </cell>
        </row>
        <row r="1619">
          <cell r="B1619">
            <v>5288481</v>
          </cell>
        </row>
        <row r="1619">
          <cell r="D1619">
            <v>0</v>
          </cell>
          <cell r="E1619" t="str">
            <v>机油标尺</v>
          </cell>
          <cell r="F1619">
            <v>29.6361</v>
          </cell>
        </row>
        <row r="1620">
          <cell r="B1620">
            <v>4982795</v>
          </cell>
        </row>
        <row r="1620">
          <cell r="D1620" t="str">
            <v>ISF2.8/3.8</v>
          </cell>
          <cell r="E1620" t="str">
            <v>机油标尺</v>
          </cell>
          <cell r="F1620">
            <v>23.4243</v>
          </cell>
        </row>
        <row r="1621">
          <cell r="B1621">
            <v>5265022</v>
          </cell>
        </row>
        <row r="1621">
          <cell r="D1621">
            <v>0</v>
          </cell>
          <cell r="E1621" t="str">
            <v>机油标尺</v>
          </cell>
          <cell r="F1621">
            <v>22.53</v>
          </cell>
        </row>
        <row r="1622">
          <cell r="B1622">
            <v>5265023</v>
          </cell>
        </row>
        <row r="1622">
          <cell r="D1622">
            <v>0</v>
          </cell>
          <cell r="E1622" t="str">
            <v>机油标尺</v>
          </cell>
          <cell r="F1622">
            <v>22.38</v>
          </cell>
        </row>
        <row r="1623">
          <cell r="B1623">
            <v>3695642</v>
          </cell>
        </row>
        <row r="1623">
          <cell r="D1623" t="str">
            <v>ISG</v>
          </cell>
          <cell r="E1623" t="str">
            <v>机油泵密封垫</v>
          </cell>
          <cell r="F1623">
            <v>40.392</v>
          </cell>
        </row>
        <row r="1624">
          <cell r="B1624">
            <v>3696431</v>
          </cell>
        </row>
        <row r="1624">
          <cell r="D1624">
            <v>0</v>
          </cell>
          <cell r="E1624" t="str">
            <v>机油泵盖板</v>
          </cell>
          <cell r="F1624">
            <v>82.64</v>
          </cell>
        </row>
        <row r="1625">
          <cell r="B1625">
            <v>4947075</v>
          </cell>
        </row>
        <row r="1625">
          <cell r="D1625" t="str">
            <v>ISF3.8</v>
          </cell>
          <cell r="E1625" t="str">
            <v>机油泵盖</v>
          </cell>
          <cell r="F1625">
            <v>46.2519</v>
          </cell>
        </row>
        <row r="1626">
          <cell r="B1626">
            <v>5582076</v>
          </cell>
        </row>
        <row r="1626">
          <cell r="D1626">
            <v>0</v>
          </cell>
          <cell r="E1626" t="str">
            <v>机油泵</v>
          </cell>
          <cell r="F1626">
            <v>1385.03</v>
          </cell>
        </row>
        <row r="1627">
          <cell r="B1627">
            <v>3696436</v>
          </cell>
        </row>
        <row r="1627">
          <cell r="D1627" t="str">
            <v>ISG</v>
          </cell>
          <cell r="E1627" t="str">
            <v>机油泵</v>
          </cell>
          <cell r="F1627">
            <v>1009.28</v>
          </cell>
        </row>
        <row r="1628">
          <cell r="B1628">
            <v>5569142</v>
          </cell>
        </row>
        <row r="1628">
          <cell r="D1628" t="str">
            <v>ISF2.8</v>
          </cell>
          <cell r="E1628" t="str">
            <v>机油泵</v>
          </cell>
          <cell r="F1628">
            <v>420.45</v>
          </cell>
        </row>
        <row r="1629">
          <cell r="B1629">
            <v>5588790</v>
          </cell>
          <cell r="C1629" t="str">
            <v>5525373/5302892/5263095/5525374/5345230</v>
          </cell>
          <cell r="D1629" t="str">
            <v>ISF3.8</v>
          </cell>
          <cell r="E1629" t="str">
            <v>机油泵</v>
          </cell>
          <cell r="F1629">
            <v>411.18</v>
          </cell>
        </row>
        <row r="1630">
          <cell r="B1630">
            <v>5685751</v>
          </cell>
          <cell r="C1630">
            <v>5566103</v>
          </cell>
          <cell r="D1630">
            <v>0</v>
          </cell>
          <cell r="E1630" t="str">
            <v>机油泵</v>
          </cell>
          <cell r="F1630">
            <v>397.65</v>
          </cell>
        </row>
        <row r="1631">
          <cell r="B1631">
            <v>5688606</v>
          </cell>
        </row>
        <row r="1631">
          <cell r="D1631">
            <v>0</v>
          </cell>
          <cell r="E1631" t="str">
            <v>机油泵</v>
          </cell>
          <cell r="F1631">
            <v>394.0362</v>
          </cell>
        </row>
        <row r="1632">
          <cell r="B1632">
            <v>3681719</v>
          </cell>
        </row>
        <row r="1632">
          <cell r="D1632">
            <v>0</v>
          </cell>
          <cell r="E1632" t="str">
            <v>机滤座</v>
          </cell>
          <cell r="F1632">
            <v>737.66</v>
          </cell>
        </row>
        <row r="1633">
          <cell r="B1633">
            <v>5614444</v>
          </cell>
        </row>
        <row r="1633">
          <cell r="D1633">
            <v>0</v>
          </cell>
          <cell r="E1633" t="str">
            <v>机冷模块</v>
          </cell>
          <cell r="F1633">
            <v>3061.38</v>
          </cell>
        </row>
        <row r="1634">
          <cell r="B1634">
            <v>5582643</v>
          </cell>
        </row>
        <row r="1634">
          <cell r="D1634">
            <v>0</v>
          </cell>
          <cell r="E1634" t="str">
            <v>机冷模块</v>
          </cell>
          <cell r="F1634">
            <v>2905.61</v>
          </cell>
        </row>
        <row r="1635">
          <cell r="B1635">
            <v>5558422</v>
          </cell>
        </row>
        <row r="1635">
          <cell r="D1635">
            <v>0</v>
          </cell>
          <cell r="E1635" t="str">
            <v>机冷模块</v>
          </cell>
          <cell r="F1635">
            <v>2768.59</v>
          </cell>
        </row>
        <row r="1636">
          <cell r="B1636">
            <v>5582083</v>
          </cell>
        </row>
        <row r="1636">
          <cell r="D1636">
            <v>0</v>
          </cell>
          <cell r="E1636" t="str">
            <v>机冷模块</v>
          </cell>
          <cell r="F1636">
            <v>2768.58</v>
          </cell>
        </row>
        <row r="1637">
          <cell r="B1637">
            <v>5575993</v>
          </cell>
        </row>
        <row r="1637">
          <cell r="D1637">
            <v>0</v>
          </cell>
          <cell r="E1637" t="str">
            <v>机冷模块</v>
          </cell>
          <cell r="F1637">
            <v>2648.19</v>
          </cell>
        </row>
        <row r="1638">
          <cell r="B1638">
            <v>5582273</v>
          </cell>
        </row>
        <row r="1638">
          <cell r="D1638">
            <v>0</v>
          </cell>
          <cell r="E1638" t="str">
            <v>机冷模块</v>
          </cell>
          <cell r="F1638">
            <v>2522.09</v>
          </cell>
        </row>
        <row r="1639">
          <cell r="B1639">
            <v>5667127</v>
          </cell>
        </row>
        <row r="1639">
          <cell r="D1639">
            <v>0</v>
          </cell>
          <cell r="E1639" t="str">
            <v>机冷模块</v>
          </cell>
          <cell r="F1639">
            <v>436.96</v>
          </cell>
        </row>
        <row r="1640">
          <cell r="B1640">
            <v>5557886</v>
          </cell>
        </row>
        <row r="1640">
          <cell r="D1640">
            <v>0</v>
          </cell>
          <cell r="E1640" t="str">
            <v>机冷盖</v>
          </cell>
          <cell r="F1640">
            <v>666.7128</v>
          </cell>
        </row>
        <row r="1641">
          <cell r="B1641">
            <v>5575991</v>
          </cell>
        </row>
        <row r="1641">
          <cell r="D1641">
            <v>0</v>
          </cell>
          <cell r="E1641" t="str">
            <v>机冷盖</v>
          </cell>
          <cell r="F1641">
            <v>653.9679</v>
          </cell>
        </row>
        <row r="1642">
          <cell r="B1642">
            <v>5536736</v>
          </cell>
        </row>
        <row r="1642">
          <cell r="D1642">
            <v>0</v>
          </cell>
          <cell r="E1642" t="str">
            <v>机冷盖</v>
          </cell>
          <cell r="F1642">
            <v>532.01</v>
          </cell>
        </row>
        <row r="1643">
          <cell r="B1643">
            <v>5536735</v>
          </cell>
        </row>
        <row r="1643">
          <cell r="D1643" t="str">
            <v>ISG</v>
          </cell>
          <cell r="E1643" t="str">
            <v>机冷盖</v>
          </cell>
          <cell r="F1643">
            <v>560.1024</v>
          </cell>
        </row>
        <row r="1644">
          <cell r="B1644">
            <v>5661840</v>
          </cell>
        </row>
        <row r="1644">
          <cell r="D1644">
            <v>0</v>
          </cell>
          <cell r="E1644" t="str">
            <v>火花塞</v>
          </cell>
          <cell r="F1644">
            <v>150.44</v>
          </cell>
        </row>
        <row r="1645">
          <cell r="B1645">
            <v>5582493</v>
          </cell>
        </row>
        <row r="1645">
          <cell r="D1645">
            <v>0</v>
          </cell>
          <cell r="E1645" t="str">
            <v>活塞油环(三)</v>
          </cell>
          <cell r="F1645">
            <v>40.82</v>
          </cell>
        </row>
        <row r="1646">
          <cell r="B1646">
            <v>5536929</v>
          </cell>
        </row>
        <row r="1646">
          <cell r="D1646">
            <v>0</v>
          </cell>
          <cell r="E1646" t="str">
            <v>活塞油环(三)</v>
          </cell>
          <cell r="F1646">
            <v>41.6619</v>
          </cell>
        </row>
        <row r="1647">
          <cell r="B1647">
            <v>5587310</v>
          </cell>
        </row>
        <row r="1647">
          <cell r="D1647">
            <v>0</v>
          </cell>
          <cell r="E1647" t="str">
            <v>活塞压缩环</v>
          </cell>
          <cell r="F1647">
            <v>79.31</v>
          </cell>
        </row>
        <row r="1648">
          <cell r="B1648">
            <v>5269330</v>
          </cell>
        </row>
        <row r="1648">
          <cell r="D1648" t="str">
            <v>ISF2.8</v>
          </cell>
          <cell r="E1648" t="str">
            <v>活塞压缩环</v>
          </cell>
          <cell r="F1648">
            <v>47.07</v>
          </cell>
        </row>
        <row r="1649">
          <cell r="B1649">
            <v>3959079</v>
          </cell>
        </row>
        <row r="1649">
          <cell r="D1649" t="str">
            <v>ISF3.8</v>
          </cell>
          <cell r="E1649" t="str">
            <v>活塞压缩环</v>
          </cell>
          <cell r="F1649">
            <v>38.86</v>
          </cell>
        </row>
        <row r="1650">
          <cell r="B1650">
            <v>3976339</v>
          </cell>
        </row>
        <row r="1650">
          <cell r="D1650">
            <v>0</v>
          </cell>
          <cell r="E1650" t="str">
            <v>活塞压缩环</v>
          </cell>
          <cell r="F1650">
            <v>39.1374</v>
          </cell>
        </row>
        <row r="1651">
          <cell r="B1651">
            <v>5710907</v>
          </cell>
        </row>
        <row r="1651">
          <cell r="D1651">
            <v>0</v>
          </cell>
          <cell r="E1651" t="str">
            <v>活塞压缩环</v>
          </cell>
          <cell r="F1651">
            <v>33.43</v>
          </cell>
        </row>
        <row r="1652">
          <cell r="B1652">
            <v>4976252</v>
          </cell>
        </row>
        <row r="1652">
          <cell r="D1652" t="str">
            <v>ISF2.8</v>
          </cell>
          <cell r="E1652" t="str">
            <v>活塞压缩环</v>
          </cell>
          <cell r="F1652">
            <v>18.252</v>
          </cell>
        </row>
        <row r="1653">
          <cell r="B1653">
            <v>3943544</v>
          </cell>
        </row>
        <row r="1653">
          <cell r="D1653" t="str">
            <v>ISF3.8</v>
          </cell>
          <cell r="E1653" t="str">
            <v>活塞压缩环</v>
          </cell>
          <cell r="F1653">
            <v>19.14</v>
          </cell>
        </row>
        <row r="1654">
          <cell r="B1654">
            <v>5335022</v>
          </cell>
        </row>
        <row r="1654">
          <cell r="D1654">
            <v>0</v>
          </cell>
          <cell r="E1654" t="str">
            <v>活塞压缩环</v>
          </cell>
          <cell r="F1654">
            <v>17.21</v>
          </cell>
        </row>
        <row r="1655">
          <cell r="B1655">
            <v>3970518</v>
          </cell>
        </row>
        <row r="1655">
          <cell r="D1655">
            <v>0</v>
          </cell>
          <cell r="E1655" t="str">
            <v>活塞压缩环</v>
          </cell>
          <cell r="F1655">
            <v>18.26</v>
          </cell>
        </row>
        <row r="1656">
          <cell r="B1656">
            <v>3943447</v>
          </cell>
        </row>
        <row r="1656">
          <cell r="D1656" t="str">
            <v>ISF3.8</v>
          </cell>
          <cell r="E1656" t="str">
            <v>活塞压缩环</v>
          </cell>
          <cell r="F1656">
            <v>6.33</v>
          </cell>
        </row>
        <row r="1657">
          <cell r="B1657">
            <v>5271963</v>
          </cell>
          <cell r="C1657">
            <v>3934047</v>
          </cell>
          <cell r="D1657" t="str">
            <v>ISF3.8</v>
          </cell>
          <cell r="E1657" t="str">
            <v>活塞销(国四康瑞H3)</v>
          </cell>
          <cell r="F1657">
            <v>21.5649</v>
          </cell>
        </row>
        <row r="1658">
          <cell r="B1658">
            <v>3697158</v>
          </cell>
        </row>
        <row r="1658">
          <cell r="D1658">
            <v>0</v>
          </cell>
          <cell r="E1658" t="str">
            <v>活塞销</v>
          </cell>
          <cell r="F1658">
            <v>242.5766</v>
          </cell>
        </row>
        <row r="1659">
          <cell r="B1659">
            <v>3694316</v>
          </cell>
        </row>
        <row r="1659">
          <cell r="D1659">
            <v>0</v>
          </cell>
          <cell r="E1659" t="str">
            <v>活塞销</v>
          </cell>
          <cell r="F1659">
            <v>210.7264</v>
          </cell>
        </row>
        <row r="1660">
          <cell r="B1660">
            <v>3695507</v>
          </cell>
        </row>
        <row r="1660">
          <cell r="D1660">
            <v>0</v>
          </cell>
          <cell r="E1660" t="str">
            <v>活塞销</v>
          </cell>
          <cell r="F1660">
            <v>71.4592</v>
          </cell>
        </row>
        <row r="1661">
          <cell r="B1661">
            <v>4931041</v>
          </cell>
        </row>
        <row r="1661">
          <cell r="D1661">
            <v>0</v>
          </cell>
          <cell r="E1661" t="str">
            <v>活塞销</v>
          </cell>
          <cell r="F1661">
            <v>35.11</v>
          </cell>
        </row>
        <row r="1662">
          <cell r="B1662">
            <v>5477660</v>
          </cell>
          <cell r="C1662">
            <v>5257057</v>
          </cell>
          <cell r="D1662" t="str">
            <v>ISF2.8</v>
          </cell>
          <cell r="E1662" t="str">
            <v>活塞销</v>
          </cell>
          <cell r="F1662">
            <v>23.526</v>
          </cell>
        </row>
        <row r="1663">
          <cell r="B1663">
            <v>5726239</v>
          </cell>
        </row>
        <row r="1663">
          <cell r="D1663">
            <v>0</v>
          </cell>
          <cell r="E1663" t="str">
            <v>活塞销</v>
          </cell>
          <cell r="F1663">
            <v>23.53</v>
          </cell>
        </row>
        <row r="1664">
          <cell r="B1664">
            <v>5417273</v>
          </cell>
        </row>
        <row r="1664">
          <cell r="D1664">
            <v>0</v>
          </cell>
          <cell r="E1664" t="str">
            <v>活塞气环(一)</v>
          </cell>
          <cell r="F1664">
            <v>96.6042</v>
          </cell>
        </row>
        <row r="1665">
          <cell r="B1665">
            <v>3698032</v>
          </cell>
        </row>
        <row r="1665">
          <cell r="D1665" t="str">
            <v>ISG</v>
          </cell>
          <cell r="E1665" t="str">
            <v>活塞气环(一)</v>
          </cell>
          <cell r="F1665">
            <v>80.4933</v>
          </cell>
        </row>
        <row r="1666">
          <cell r="B1666">
            <v>5486513</v>
          </cell>
        </row>
        <row r="1666">
          <cell r="D1666" t="str">
            <v>ISG</v>
          </cell>
          <cell r="E1666" t="str">
            <v>活塞气环(一)</v>
          </cell>
          <cell r="F1666">
            <v>68.6511</v>
          </cell>
        </row>
        <row r="1667">
          <cell r="B1667">
            <v>5417274</v>
          </cell>
        </row>
        <row r="1667">
          <cell r="D1667">
            <v>0</v>
          </cell>
          <cell r="E1667" t="str">
            <v>活塞气环(二)</v>
          </cell>
          <cell r="F1667">
            <v>29.1312</v>
          </cell>
        </row>
        <row r="1668">
          <cell r="B1668">
            <v>3698033</v>
          </cell>
        </row>
        <row r="1668">
          <cell r="D1668" t="str">
            <v>ISG</v>
          </cell>
          <cell r="E1668" t="str">
            <v>活塞气环(二)</v>
          </cell>
          <cell r="F1668">
            <v>24.2658</v>
          </cell>
        </row>
        <row r="1669">
          <cell r="B1669">
            <v>3698002</v>
          </cell>
        </row>
        <row r="1669">
          <cell r="D1669" t="str">
            <v>ISG</v>
          </cell>
          <cell r="E1669" t="str">
            <v>活塞气环(二)</v>
          </cell>
          <cell r="F1669">
            <v>20.4255</v>
          </cell>
        </row>
        <row r="1670">
          <cell r="B1670">
            <v>5536928</v>
          </cell>
        </row>
        <row r="1670">
          <cell r="D1670">
            <v>0</v>
          </cell>
          <cell r="E1670" t="str">
            <v>活塞气环(第一道)</v>
          </cell>
          <cell r="F1670">
            <v>71.9865</v>
          </cell>
        </row>
        <row r="1671">
          <cell r="B1671">
            <v>5536930</v>
          </cell>
        </row>
        <row r="1671">
          <cell r="D1671">
            <v>0</v>
          </cell>
          <cell r="E1671" t="str">
            <v>活塞气环(第二道)</v>
          </cell>
          <cell r="F1671">
            <v>29.1312</v>
          </cell>
        </row>
        <row r="1672">
          <cell r="B1672">
            <v>5615568</v>
          </cell>
        </row>
        <row r="1672">
          <cell r="D1672">
            <v>0</v>
          </cell>
          <cell r="E1672" t="str">
            <v>活塞气环</v>
          </cell>
          <cell r="F1672">
            <v>80.82</v>
          </cell>
        </row>
        <row r="1673">
          <cell r="B1673">
            <v>5558064</v>
          </cell>
        </row>
        <row r="1673">
          <cell r="D1673">
            <v>0</v>
          </cell>
          <cell r="E1673" t="str">
            <v>活塞冷却喷嘴</v>
          </cell>
          <cell r="F1673">
            <v>34.3944</v>
          </cell>
        </row>
        <row r="1674">
          <cell r="B1674">
            <v>3696971</v>
          </cell>
        </row>
        <row r="1674">
          <cell r="D1674" t="str">
            <v>ISG</v>
          </cell>
          <cell r="E1674" t="str">
            <v>活塞冷却喷嘴</v>
          </cell>
          <cell r="F1674">
            <v>28.6722</v>
          </cell>
        </row>
        <row r="1675">
          <cell r="B1675">
            <v>5257526</v>
          </cell>
        </row>
        <row r="1675">
          <cell r="D1675" t="str">
            <v>ISF2.8</v>
          </cell>
          <cell r="E1675" t="str">
            <v>活塞冷却喷嘴</v>
          </cell>
          <cell r="F1675">
            <v>19.44</v>
          </cell>
        </row>
        <row r="1676">
          <cell r="B1676">
            <v>4937308</v>
          </cell>
        </row>
        <row r="1676">
          <cell r="D1676" t="str">
            <v>ISF3.8</v>
          </cell>
          <cell r="E1676" t="str">
            <v>活塞冷却喷嘴</v>
          </cell>
          <cell r="F1676">
            <v>13.5</v>
          </cell>
        </row>
        <row r="1677">
          <cell r="B1677">
            <v>5270336</v>
          </cell>
        </row>
        <row r="1677">
          <cell r="D1677" t="str">
            <v>ISF2.8</v>
          </cell>
          <cell r="E1677" t="str">
            <v>活塞及环组件(含单活塞5264621)国五</v>
          </cell>
          <cell r="F1677">
            <v>203.6196</v>
          </cell>
        </row>
        <row r="1678">
          <cell r="B1678">
            <v>5269331</v>
          </cell>
        </row>
        <row r="1678">
          <cell r="D1678" t="str">
            <v>ISF2.8</v>
          </cell>
          <cell r="E1678" t="str">
            <v>活塞及环组件</v>
          </cell>
          <cell r="F1678">
            <v>203.6196</v>
          </cell>
        </row>
        <row r="1679">
          <cell r="B1679">
            <v>4995266</v>
          </cell>
        </row>
        <row r="1679">
          <cell r="D1679" t="str">
            <v>ISF2.8</v>
          </cell>
          <cell r="E1679" t="str">
            <v>活塞国三</v>
          </cell>
          <cell r="F1679">
            <v>153.383</v>
          </cell>
        </row>
        <row r="1680">
          <cell r="B1680">
            <v>3694311</v>
          </cell>
        </row>
        <row r="1680">
          <cell r="D1680">
            <v>0</v>
          </cell>
          <cell r="E1680" t="str">
            <v>活塞</v>
          </cell>
          <cell r="F1680">
            <v>774.2336</v>
          </cell>
        </row>
        <row r="1681">
          <cell r="B1681">
            <v>3694312</v>
          </cell>
        </row>
        <row r="1681">
          <cell r="D1681">
            <v>0</v>
          </cell>
          <cell r="E1681" t="str">
            <v>活塞</v>
          </cell>
          <cell r="F1681">
            <v>774.2336</v>
          </cell>
        </row>
        <row r="1682">
          <cell r="B1682">
            <v>5558374</v>
          </cell>
        </row>
        <row r="1682">
          <cell r="D1682">
            <v>0</v>
          </cell>
          <cell r="E1682" t="str">
            <v>活塞</v>
          </cell>
          <cell r="F1682">
            <v>774.2336</v>
          </cell>
        </row>
        <row r="1683">
          <cell r="B1683">
            <v>5558375</v>
          </cell>
        </row>
        <row r="1683">
          <cell r="D1683">
            <v>0</v>
          </cell>
          <cell r="E1683" t="str">
            <v>活塞</v>
          </cell>
          <cell r="F1683">
            <v>774.2336</v>
          </cell>
        </row>
        <row r="1684">
          <cell r="B1684">
            <v>5685432</v>
          </cell>
        </row>
        <row r="1684">
          <cell r="D1684">
            <v>0</v>
          </cell>
          <cell r="E1684" t="str">
            <v>活塞</v>
          </cell>
          <cell r="F1684">
            <v>741.03</v>
          </cell>
        </row>
        <row r="1685">
          <cell r="B1685">
            <v>5686088</v>
          </cell>
        </row>
        <row r="1685">
          <cell r="D1685">
            <v>0</v>
          </cell>
          <cell r="E1685" t="str">
            <v>活塞</v>
          </cell>
          <cell r="F1685">
            <v>741.03</v>
          </cell>
        </row>
        <row r="1686">
          <cell r="B1686">
            <v>5686089</v>
          </cell>
        </row>
        <row r="1686">
          <cell r="D1686">
            <v>0</v>
          </cell>
          <cell r="E1686" t="str">
            <v>活塞</v>
          </cell>
          <cell r="F1686">
            <v>741.03</v>
          </cell>
        </row>
        <row r="1687">
          <cell r="B1687">
            <v>5486376</v>
          </cell>
        </row>
        <row r="1687">
          <cell r="D1687" t="str">
            <v>ISG</v>
          </cell>
          <cell r="E1687" t="str">
            <v>活塞</v>
          </cell>
          <cell r="F1687">
            <v>645.1968</v>
          </cell>
        </row>
        <row r="1688">
          <cell r="B1688">
            <v>3697229</v>
          </cell>
        </row>
        <row r="1688">
          <cell r="D1688">
            <v>0</v>
          </cell>
          <cell r="E1688" t="str">
            <v>活塞</v>
          </cell>
          <cell r="F1688">
            <v>645.1968</v>
          </cell>
        </row>
        <row r="1689">
          <cell r="B1689">
            <v>5486377</v>
          </cell>
        </row>
        <row r="1689">
          <cell r="D1689" t="str">
            <v>ISG</v>
          </cell>
          <cell r="E1689" t="str">
            <v>活塞</v>
          </cell>
          <cell r="F1689">
            <v>645.1968</v>
          </cell>
        </row>
        <row r="1690">
          <cell r="B1690">
            <v>3697230</v>
          </cell>
        </row>
        <row r="1690">
          <cell r="D1690">
            <v>0</v>
          </cell>
          <cell r="E1690" t="str">
            <v>活塞</v>
          </cell>
          <cell r="F1690">
            <v>645.1968</v>
          </cell>
        </row>
        <row r="1691">
          <cell r="B1691">
            <v>3694760</v>
          </cell>
        </row>
        <row r="1691">
          <cell r="D1691">
            <v>0</v>
          </cell>
          <cell r="E1691" t="str">
            <v>活塞</v>
          </cell>
          <cell r="F1691">
            <v>356.4544</v>
          </cell>
        </row>
        <row r="1692">
          <cell r="B1692">
            <v>3694761</v>
          </cell>
        </row>
        <row r="1692">
          <cell r="D1692">
            <v>0</v>
          </cell>
          <cell r="E1692" t="str">
            <v>活塞</v>
          </cell>
          <cell r="F1692">
            <v>356.4544</v>
          </cell>
        </row>
        <row r="1693">
          <cell r="B1693">
            <v>5486203</v>
          </cell>
        </row>
        <row r="1693">
          <cell r="D1693">
            <v>0</v>
          </cell>
          <cell r="E1693" t="str">
            <v>活塞</v>
          </cell>
          <cell r="F1693">
            <v>356.4544</v>
          </cell>
        </row>
        <row r="1694">
          <cell r="B1694">
            <v>5486204</v>
          </cell>
        </row>
        <row r="1694">
          <cell r="D1694">
            <v>0</v>
          </cell>
          <cell r="E1694" t="str">
            <v>活塞</v>
          </cell>
          <cell r="F1694">
            <v>356.4544</v>
          </cell>
        </row>
        <row r="1695">
          <cell r="B1695">
            <v>3694067</v>
          </cell>
        </row>
        <row r="1695">
          <cell r="D1695" t="str">
            <v>ISG</v>
          </cell>
          <cell r="E1695" t="str">
            <v>活塞</v>
          </cell>
          <cell r="F1695">
            <v>337.152</v>
          </cell>
        </row>
        <row r="1696">
          <cell r="B1696">
            <v>5477662</v>
          </cell>
        </row>
        <row r="1696">
          <cell r="D1696" t="str">
            <v>ISF2.8</v>
          </cell>
          <cell r="E1696" t="str">
            <v>活塞</v>
          </cell>
          <cell r="F1696">
            <v>208.94</v>
          </cell>
        </row>
        <row r="1697">
          <cell r="B1697">
            <v>5482023</v>
          </cell>
        </row>
        <row r="1697">
          <cell r="D1697" t="str">
            <v>ISF3.8</v>
          </cell>
          <cell r="E1697" t="str">
            <v>活塞</v>
          </cell>
          <cell r="F1697">
            <v>208.94</v>
          </cell>
        </row>
        <row r="1698">
          <cell r="B1698">
            <v>5562337</v>
          </cell>
        </row>
        <row r="1698">
          <cell r="D1698">
            <v>0</v>
          </cell>
          <cell r="E1698" t="str">
            <v>活塞</v>
          </cell>
          <cell r="F1698">
            <v>208.94</v>
          </cell>
        </row>
        <row r="1699">
          <cell r="B1699">
            <v>5527605</v>
          </cell>
        </row>
        <row r="1699">
          <cell r="D1699">
            <v>0</v>
          </cell>
          <cell r="E1699" t="str">
            <v>活塞</v>
          </cell>
          <cell r="F1699">
            <v>208.94</v>
          </cell>
        </row>
        <row r="1700">
          <cell r="B1700">
            <v>5274516</v>
          </cell>
        </row>
        <row r="1700">
          <cell r="D1700">
            <v>0</v>
          </cell>
          <cell r="E1700" t="str">
            <v>活塞</v>
          </cell>
          <cell r="F1700">
            <v>214.997</v>
          </cell>
        </row>
        <row r="1701">
          <cell r="B1701">
            <v>6319745</v>
          </cell>
          <cell r="C1701">
            <v>5725799</v>
          </cell>
          <cell r="D1701">
            <v>0</v>
          </cell>
          <cell r="E1701" t="str">
            <v>活塞</v>
          </cell>
          <cell r="F1701">
            <v>194.7</v>
          </cell>
        </row>
        <row r="1702">
          <cell r="B1702">
            <v>5292943</v>
          </cell>
        </row>
        <row r="1702">
          <cell r="D1702" t="str">
            <v>ISF3.8</v>
          </cell>
          <cell r="E1702" t="str">
            <v>活塞</v>
          </cell>
          <cell r="F1702">
            <v>181.3701</v>
          </cell>
        </row>
        <row r="1703">
          <cell r="B1703">
            <v>5258754</v>
          </cell>
        </row>
        <row r="1703">
          <cell r="D1703" t="str">
            <v>ISF3.8</v>
          </cell>
          <cell r="E1703" t="str">
            <v>活塞</v>
          </cell>
          <cell r="F1703">
            <v>181.3701</v>
          </cell>
        </row>
        <row r="1704">
          <cell r="B1704">
            <v>5262760</v>
          </cell>
        </row>
        <row r="1704">
          <cell r="D1704">
            <v>0</v>
          </cell>
          <cell r="E1704" t="str">
            <v>活塞</v>
          </cell>
          <cell r="F1704">
            <v>170.87</v>
          </cell>
        </row>
        <row r="1705">
          <cell r="B1705">
            <v>5521020</v>
          </cell>
          <cell r="C1705">
            <v>5337758</v>
          </cell>
          <cell r="D1705">
            <v>0</v>
          </cell>
          <cell r="E1705" t="str">
            <v>回油管密封垫</v>
          </cell>
          <cell r="F1705">
            <v>5.32</v>
          </cell>
        </row>
        <row r="1706">
          <cell r="B1706">
            <v>5264569</v>
          </cell>
        </row>
        <row r="1706">
          <cell r="D1706" t="str">
            <v>ISG</v>
          </cell>
          <cell r="E1706" t="str">
            <v>回油管密封垫</v>
          </cell>
          <cell r="F1706">
            <v>3.03</v>
          </cell>
        </row>
        <row r="1707">
          <cell r="B1707">
            <v>5337704</v>
          </cell>
        </row>
        <row r="1707">
          <cell r="D1707" t="str">
            <v>ISF2.8</v>
          </cell>
          <cell r="E1707" t="str">
            <v>回油管密封垫</v>
          </cell>
          <cell r="F1707">
            <v>2.66</v>
          </cell>
        </row>
        <row r="1708">
          <cell r="B1708">
            <v>3934638</v>
          </cell>
        </row>
        <row r="1708">
          <cell r="D1708" t="str">
            <v>ISF3.8</v>
          </cell>
          <cell r="E1708" t="str">
            <v>回油管密封垫</v>
          </cell>
          <cell r="F1708">
            <v>2.42</v>
          </cell>
        </row>
        <row r="1709">
          <cell r="B1709">
            <v>5582140</v>
          </cell>
        </row>
        <row r="1709">
          <cell r="D1709">
            <v>0</v>
          </cell>
          <cell r="E1709" t="str">
            <v>回油管</v>
          </cell>
          <cell r="F1709">
            <v>140.85</v>
          </cell>
        </row>
        <row r="1710">
          <cell r="B1710">
            <v>5715865</v>
          </cell>
        </row>
        <row r="1710">
          <cell r="D1710">
            <v>0</v>
          </cell>
          <cell r="E1710" t="str">
            <v>回水管</v>
          </cell>
          <cell r="F1710">
            <v>97.33</v>
          </cell>
        </row>
        <row r="1711">
          <cell r="B1711">
            <v>5663764</v>
          </cell>
        </row>
        <row r="1711">
          <cell r="D1711">
            <v>0</v>
          </cell>
          <cell r="E1711" t="str">
            <v>回水管</v>
          </cell>
          <cell r="F1711">
            <v>65.42</v>
          </cell>
        </row>
        <row r="1712">
          <cell r="B1712">
            <v>201351</v>
          </cell>
        </row>
        <row r="1712">
          <cell r="D1712">
            <v>0</v>
          </cell>
          <cell r="E1712" t="str">
            <v>环箍</v>
          </cell>
          <cell r="F1712">
            <v>1.33</v>
          </cell>
        </row>
        <row r="1713">
          <cell r="B1713">
            <v>5666681</v>
          </cell>
        </row>
        <row r="1713">
          <cell r="D1713">
            <v>0</v>
          </cell>
          <cell r="E1713" t="str">
            <v>呼吸器垫片</v>
          </cell>
          <cell r="F1713">
            <v>120.58</v>
          </cell>
        </row>
        <row r="1714">
          <cell r="B1714">
            <v>5371000</v>
          </cell>
        </row>
        <row r="1714">
          <cell r="D1714">
            <v>0</v>
          </cell>
          <cell r="E1714" t="str">
            <v>呼吸器</v>
          </cell>
          <cell r="F1714">
            <v>205.77</v>
          </cell>
        </row>
        <row r="1715">
          <cell r="B1715">
            <v>5288538</v>
          </cell>
        </row>
        <row r="1715">
          <cell r="D1715">
            <v>0</v>
          </cell>
          <cell r="E1715" t="str">
            <v>呼吸器</v>
          </cell>
          <cell r="F1715">
            <v>176.52</v>
          </cell>
        </row>
        <row r="1716">
          <cell r="B1716">
            <v>5377701</v>
          </cell>
        </row>
        <row r="1716">
          <cell r="D1716">
            <v>0</v>
          </cell>
          <cell r="E1716" t="str">
            <v>呼吸管</v>
          </cell>
          <cell r="F1716">
            <v>61.72</v>
          </cell>
        </row>
        <row r="1717">
          <cell r="B1717">
            <v>3697850</v>
          </cell>
        </row>
        <row r="1717">
          <cell r="D1717">
            <v>0</v>
          </cell>
          <cell r="E1717" t="str">
            <v>后取力总成</v>
          </cell>
          <cell r="F1717">
            <v>2629.9</v>
          </cell>
        </row>
        <row r="1718">
          <cell r="B1718">
            <v>5320774</v>
          </cell>
        </row>
        <row r="1718">
          <cell r="D1718">
            <v>0</v>
          </cell>
          <cell r="E1718" t="str">
            <v>后取力齿轮</v>
          </cell>
          <cell r="F1718">
            <v>144</v>
          </cell>
        </row>
        <row r="1719">
          <cell r="B1719">
            <v>3693805</v>
          </cell>
        </row>
        <row r="1719">
          <cell r="D1719">
            <v>0</v>
          </cell>
          <cell r="E1719" t="str">
            <v>滚珠轴承 </v>
          </cell>
          <cell r="F1719">
            <v>50.4288</v>
          </cell>
        </row>
        <row r="1720">
          <cell r="B1720">
            <v>3910739</v>
          </cell>
        </row>
        <row r="1720">
          <cell r="D1720" t="str">
            <v>ISF2.8/3.8</v>
          </cell>
          <cell r="E1720" t="str">
            <v>滚珠轴承</v>
          </cell>
          <cell r="F1720">
            <v>184.365</v>
          </cell>
        </row>
        <row r="1721">
          <cell r="B1721" t="str">
            <v>S16022A</v>
          </cell>
        </row>
        <row r="1721">
          <cell r="D1721">
            <v>0</v>
          </cell>
          <cell r="E1721" t="str">
            <v>滚珠轴承</v>
          </cell>
          <cell r="F1721">
            <v>21.5271</v>
          </cell>
        </row>
        <row r="1722">
          <cell r="B1722">
            <v>3032105</v>
          </cell>
        </row>
        <row r="1722">
          <cell r="D1722" t="str">
            <v>ISF2.8</v>
          </cell>
          <cell r="E1722" t="str">
            <v>滚珠轴承</v>
          </cell>
          <cell r="F1722">
            <v>16.68</v>
          </cell>
        </row>
        <row r="1723">
          <cell r="B1723">
            <v>5714993</v>
          </cell>
        </row>
        <row r="1723">
          <cell r="D1723">
            <v>0</v>
          </cell>
          <cell r="E1723" t="str">
            <v>管支架</v>
          </cell>
          <cell r="F1723">
            <v>20.01</v>
          </cell>
        </row>
        <row r="1724">
          <cell r="B1724">
            <v>5612362</v>
          </cell>
        </row>
        <row r="1724">
          <cell r="D1724">
            <v>0</v>
          </cell>
          <cell r="E1724" t="str">
            <v>管支架</v>
          </cell>
          <cell r="F1724">
            <v>12.2</v>
          </cell>
        </row>
        <row r="1725">
          <cell r="B1725">
            <v>5688999</v>
          </cell>
        </row>
        <row r="1725">
          <cell r="D1725">
            <v>0</v>
          </cell>
          <cell r="E1725" t="str">
            <v>管塞</v>
          </cell>
          <cell r="F1725">
            <v>12.16</v>
          </cell>
        </row>
        <row r="1726">
          <cell r="B1726">
            <v>3693478</v>
          </cell>
        </row>
        <row r="1726">
          <cell r="D1726">
            <v>0</v>
          </cell>
          <cell r="E1726" t="str">
            <v>管路支架</v>
          </cell>
          <cell r="F1726">
            <v>389.8593</v>
          </cell>
        </row>
        <row r="1727">
          <cell r="B1727">
            <v>5575443</v>
          </cell>
        </row>
        <row r="1727">
          <cell r="D1727">
            <v>0</v>
          </cell>
          <cell r="E1727" t="str">
            <v>管路支架</v>
          </cell>
          <cell r="F1727">
            <v>131.48</v>
          </cell>
        </row>
        <row r="1728">
          <cell r="B1728">
            <v>5557860</v>
          </cell>
        </row>
        <row r="1728">
          <cell r="D1728">
            <v>0</v>
          </cell>
          <cell r="E1728" t="str">
            <v>管路支架</v>
          </cell>
          <cell r="F1728">
            <v>128.29</v>
          </cell>
        </row>
        <row r="1729">
          <cell r="B1729">
            <v>3697982</v>
          </cell>
        </row>
        <row r="1729">
          <cell r="D1729">
            <v>0</v>
          </cell>
          <cell r="E1729" t="str">
            <v>管路支架</v>
          </cell>
          <cell r="F1729">
            <v>67.96</v>
          </cell>
        </row>
        <row r="1730">
          <cell r="B1730">
            <v>3693977</v>
          </cell>
        </row>
        <row r="1730">
          <cell r="D1730">
            <v>0</v>
          </cell>
          <cell r="E1730" t="str">
            <v>管路支架</v>
          </cell>
          <cell r="F1730">
            <v>26.82</v>
          </cell>
        </row>
        <row r="1731">
          <cell r="B1731">
            <v>3693976</v>
          </cell>
        </row>
        <row r="1731">
          <cell r="D1731">
            <v>0</v>
          </cell>
          <cell r="E1731" t="str">
            <v>管路支架</v>
          </cell>
          <cell r="F1731">
            <v>22.99</v>
          </cell>
        </row>
        <row r="1732">
          <cell r="B1732">
            <v>5367427</v>
          </cell>
        </row>
        <row r="1732">
          <cell r="D1732">
            <v>0</v>
          </cell>
          <cell r="E1732" t="str">
            <v>管路支架</v>
          </cell>
          <cell r="F1732">
            <v>19.19</v>
          </cell>
        </row>
        <row r="1733">
          <cell r="B1733">
            <v>3947729</v>
          </cell>
        </row>
        <row r="1733">
          <cell r="D1733">
            <v>0</v>
          </cell>
          <cell r="E1733" t="str">
            <v>管路支架</v>
          </cell>
          <cell r="F1733">
            <v>17.04</v>
          </cell>
        </row>
        <row r="1734">
          <cell r="B1734">
            <v>5321113</v>
          </cell>
        </row>
        <row r="1734">
          <cell r="D1734">
            <v>0</v>
          </cell>
          <cell r="E1734" t="str">
            <v>管路支架</v>
          </cell>
          <cell r="F1734">
            <v>16.92</v>
          </cell>
        </row>
        <row r="1735">
          <cell r="B1735">
            <v>5661567</v>
          </cell>
        </row>
        <row r="1735">
          <cell r="D1735">
            <v>0</v>
          </cell>
          <cell r="E1735" t="str">
            <v>管路支架</v>
          </cell>
          <cell r="F1735">
            <v>14.8</v>
          </cell>
        </row>
        <row r="1736">
          <cell r="B1736">
            <v>5308876</v>
          </cell>
        </row>
        <row r="1736">
          <cell r="D1736">
            <v>0</v>
          </cell>
          <cell r="E1736" t="str">
            <v>管路支架</v>
          </cell>
          <cell r="F1736">
            <v>12.2</v>
          </cell>
        </row>
        <row r="1737">
          <cell r="B1737">
            <v>5619448</v>
          </cell>
        </row>
        <row r="1737">
          <cell r="D1737">
            <v>0</v>
          </cell>
          <cell r="E1737" t="str">
            <v>管路支架</v>
          </cell>
          <cell r="F1737">
            <v>8.7</v>
          </cell>
        </row>
        <row r="1738">
          <cell r="B1738">
            <v>5342050</v>
          </cell>
        </row>
        <row r="1738">
          <cell r="D1738">
            <v>0</v>
          </cell>
          <cell r="E1738" t="str">
            <v>管路支架</v>
          </cell>
          <cell r="F1738">
            <v>8.49</v>
          </cell>
        </row>
        <row r="1739">
          <cell r="B1739">
            <v>5529539</v>
          </cell>
        </row>
        <row r="1739">
          <cell r="D1739" t="str">
            <v>ISF2.8</v>
          </cell>
          <cell r="E1739" t="str">
            <v>管路支架</v>
          </cell>
          <cell r="F1739">
            <v>7.93</v>
          </cell>
        </row>
        <row r="1740">
          <cell r="B1740">
            <v>5338528</v>
          </cell>
        </row>
        <row r="1740">
          <cell r="D1740">
            <v>0</v>
          </cell>
          <cell r="E1740" t="str">
            <v>管路支架</v>
          </cell>
          <cell r="F1740">
            <v>6.61</v>
          </cell>
        </row>
        <row r="1741">
          <cell r="B1741">
            <v>5709196</v>
          </cell>
        </row>
        <row r="1741">
          <cell r="D1741">
            <v>0</v>
          </cell>
          <cell r="E1741" t="str">
            <v>管路支架</v>
          </cell>
          <cell r="F1741">
            <v>5.85</v>
          </cell>
        </row>
        <row r="1742">
          <cell r="B1742">
            <v>5529657</v>
          </cell>
        </row>
        <row r="1742">
          <cell r="D1742">
            <v>0</v>
          </cell>
          <cell r="E1742" t="str">
            <v>管路支架</v>
          </cell>
          <cell r="F1742">
            <v>3.75</v>
          </cell>
        </row>
        <row r="1743">
          <cell r="B1743">
            <v>5711359</v>
          </cell>
        </row>
        <row r="1743">
          <cell r="D1743">
            <v>0</v>
          </cell>
          <cell r="E1743" t="str">
            <v>管接头</v>
          </cell>
          <cell r="F1743">
            <v>171.79</v>
          </cell>
        </row>
        <row r="1744">
          <cell r="B1744">
            <v>5340387</v>
          </cell>
        </row>
        <row r="1744">
          <cell r="D1744">
            <v>0</v>
          </cell>
          <cell r="E1744" t="str">
            <v>管接头</v>
          </cell>
          <cell r="F1744">
            <v>37.0872</v>
          </cell>
        </row>
        <row r="1745">
          <cell r="B1745">
            <v>5713666</v>
          </cell>
        </row>
        <row r="1745">
          <cell r="D1745">
            <v>0</v>
          </cell>
          <cell r="E1745" t="str">
            <v>管夹</v>
          </cell>
          <cell r="F1745">
            <v>38.64</v>
          </cell>
        </row>
        <row r="1746">
          <cell r="B1746">
            <v>5713667</v>
          </cell>
        </row>
        <row r="1746">
          <cell r="D1746">
            <v>0</v>
          </cell>
          <cell r="E1746" t="str">
            <v>管夹</v>
          </cell>
          <cell r="F1746">
            <v>38.64</v>
          </cell>
        </row>
        <row r="1747">
          <cell r="B1747">
            <v>5333131</v>
          </cell>
        </row>
        <row r="1747">
          <cell r="D1747">
            <v>0</v>
          </cell>
          <cell r="E1747" t="str">
            <v>管夹</v>
          </cell>
          <cell r="F1747">
            <v>21.39</v>
          </cell>
        </row>
        <row r="1748">
          <cell r="B1748">
            <v>5669099</v>
          </cell>
        </row>
        <row r="1748">
          <cell r="D1748">
            <v>0</v>
          </cell>
          <cell r="E1748" t="str">
            <v>管夹</v>
          </cell>
          <cell r="F1748">
            <v>9.43</v>
          </cell>
        </row>
        <row r="1749">
          <cell r="B1749">
            <v>5417310</v>
          </cell>
        </row>
        <row r="1749">
          <cell r="D1749">
            <v>0</v>
          </cell>
          <cell r="E1749" t="str">
            <v>管夹</v>
          </cell>
          <cell r="F1749">
            <v>9.06</v>
          </cell>
        </row>
        <row r="1750">
          <cell r="B1750">
            <v>5297723</v>
          </cell>
        </row>
        <row r="1750">
          <cell r="D1750">
            <v>0</v>
          </cell>
          <cell r="E1750" t="str">
            <v>管夹</v>
          </cell>
          <cell r="F1750">
            <v>8.66</v>
          </cell>
        </row>
        <row r="1751">
          <cell r="B1751">
            <v>5336216</v>
          </cell>
        </row>
        <row r="1751">
          <cell r="D1751">
            <v>0</v>
          </cell>
          <cell r="E1751" t="str">
            <v>管夹</v>
          </cell>
          <cell r="F1751">
            <v>8.19</v>
          </cell>
        </row>
        <row r="1752">
          <cell r="B1752">
            <v>5296651</v>
          </cell>
        </row>
        <row r="1752">
          <cell r="D1752">
            <v>0</v>
          </cell>
          <cell r="E1752" t="str">
            <v>管夹</v>
          </cell>
          <cell r="F1752">
            <v>7.7</v>
          </cell>
        </row>
        <row r="1753">
          <cell r="B1753">
            <v>5347969</v>
          </cell>
        </row>
        <row r="1753">
          <cell r="D1753">
            <v>0</v>
          </cell>
          <cell r="E1753" t="str">
            <v>管夹</v>
          </cell>
          <cell r="F1753">
            <v>5.92</v>
          </cell>
        </row>
        <row r="1754">
          <cell r="B1754">
            <v>5261048</v>
          </cell>
        </row>
        <row r="1754">
          <cell r="D1754">
            <v>0</v>
          </cell>
          <cell r="E1754" t="str">
            <v>管夹</v>
          </cell>
          <cell r="F1754">
            <v>4.91</v>
          </cell>
        </row>
        <row r="1755">
          <cell r="B1755">
            <v>5361274</v>
          </cell>
        </row>
        <row r="1755">
          <cell r="D1755">
            <v>0</v>
          </cell>
          <cell r="E1755" t="str">
            <v>管夹</v>
          </cell>
          <cell r="F1755">
            <v>4.83</v>
          </cell>
        </row>
        <row r="1756">
          <cell r="B1756">
            <v>5297724</v>
          </cell>
        </row>
        <row r="1756">
          <cell r="D1756">
            <v>0</v>
          </cell>
          <cell r="E1756" t="str">
            <v>管夹</v>
          </cell>
          <cell r="F1756">
            <v>4.73</v>
          </cell>
        </row>
        <row r="1757">
          <cell r="B1757">
            <v>3056787</v>
          </cell>
        </row>
        <row r="1757">
          <cell r="D1757">
            <v>0</v>
          </cell>
          <cell r="E1757" t="str">
            <v>管夹</v>
          </cell>
          <cell r="F1757">
            <v>7.04</v>
          </cell>
        </row>
        <row r="1758">
          <cell r="B1758">
            <v>5348811</v>
          </cell>
        </row>
        <row r="1758">
          <cell r="D1758">
            <v>0</v>
          </cell>
          <cell r="E1758" t="str">
            <v>管夹</v>
          </cell>
          <cell r="F1758">
            <v>4.23</v>
          </cell>
        </row>
        <row r="1759">
          <cell r="B1759">
            <v>5303513</v>
          </cell>
        </row>
        <row r="1759">
          <cell r="D1759">
            <v>0</v>
          </cell>
          <cell r="E1759" t="str">
            <v>管夹</v>
          </cell>
          <cell r="F1759">
            <v>4.16</v>
          </cell>
        </row>
        <row r="1760">
          <cell r="B1760">
            <v>4945853</v>
          </cell>
        </row>
        <row r="1760">
          <cell r="D1760" t="str">
            <v>ISF2.8/3.8</v>
          </cell>
          <cell r="E1760" t="str">
            <v>管夹</v>
          </cell>
          <cell r="F1760">
            <v>3.92</v>
          </cell>
        </row>
        <row r="1761">
          <cell r="B1761">
            <v>5264511</v>
          </cell>
        </row>
        <row r="1761">
          <cell r="D1761">
            <v>0</v>
          </cell>
          <cell r="E1761" t="str">
            <v>管夹</v>
          </cell>
          <cell r="F1761">
            <v>3.92</v>
          </cell>
        </row>
        <row r="1762">
          <cell r="B1762">
            <v>5334209</v>
          </cell>
        </row>
        <row r="1762">
          <cell r="D1762">
            <v>0</v>
          </cell>
          <cell r="E1762" t="str">
            <v>管夹</v>
          </cell>
          <cell r="F1762">
            <v>3.72</v>
          </cell>
        </row>
        <row r="1763">
          <cell r="B1763">
            <v>5344699</v>
          </cell>
        </row>
        <row r="1763">
          <cell r="D1763">
            <v>0</v>
          </cell>
          <cell r="E1763" t="str">
            <v>管夹</v>
          </cell>
          <cell r="F1763">
            <v>3.66</v>
          </cell>
        </row>
        <row r="1764">
          <cell r="B1764">
            <v>5265024</v>
          </cell>
        </row>
        <row r="1764">
          <cell r="D1764">
            <v>0</v>
          </cell>
          <cell r="E1764" t="str">
            <v>管夹</v>
          </cell>
          <cell r="F1764">
            <v>3.65</v>
          </cell>
        </row>
        <row r="1765">
          <cell r="B1765">
            <v>5261150</v>
          </cell>
        </row>
        <row r="1765">
          <cell r="D1765" t="str">
            <v>ISF3.8</v>
          </cell>
          <cell r="E1765" t="str">
            <v>管夹</v>
          </cell>
          <cell r="F1765">
            <v>3.62</v>
          </cell>
        </row>
        <row r="1766">
          <cell r="B1766">
            <v>5564081</v>
          </cell>
        </row>
        <row r="1766">
          <cell r="D1766">
            <v>0</v>
          </cell>
          <cell r="E1766" t="str">
            <v>管夹</v>
          </cell>
          <cell r="F1766">
            <v>3.39</v>
          </cell>
        </row>
        <row r="1767">
          <cell r="B1767">
            <v>3937613</v>
          </cell>
        </row>
        <row r="1767">
          <cell r="D1767">
            <v>0</v>
          </cell>
          <cell r="E1767" t="str">
            <v>管夹</v>
          </cell>
          <cell r="F1767">
            <v>3.31</v>
          </cell>
        </row>
        <row r="1768">
          <cell r="B1768">
            <v>5287716</v>
          </cell>
        </row>
        <row r="1768">
          <cell r="D1768">
            <v>0</v>
          </cell>
          <cell r="E1768" t="str">
            <v>管夹</v>
          </cell>
          <cell r="F1768">
            <v>2.9</v>
          </cell>
        </row>
        <row r="1769">
          <cell r="B1769">
            <v>5307655</v>
          </cell>
        </row>
        <row r="1769">
          <cell r="D1769">
            <v>0</v>
          </cell>
          <cell r="E1769" t="str">
            <v>管夹</v>
          </cell>
          <cell r="F1769">
            <v>2.86</v>
          </cell>
        </row>
        <row r="1770">
          <cell r="B1770">
            <v>5266048</v>
          </cell>
        </row>
        <row r="1770">
          <cell r="D1770" t="str">
            <v>ISF3.8</v>
          </cell>
          <cell r="E1770" t="str">
            <v>管夹</v>
          </cell>
          <cell r="F1770">
            <v>2.84</v>
          </cell>
        </row>
        <row r="1771">
          <cell r="B1771">
            <v>5304388</v>
          </cell>
        </row>
        <row r="1771">
          <cell r="D1771">
            <v>0</v>
          </cell>
          <cell r="E1771" t="str">
            <v>管夹</v>
          </cell>
          <cell r="F1771">
            <v>2.76</v>
          </cell>
        </row>
        <row r="1772">
          <cell r="B1772">
            <v>5309691</v>
          </cell>
        </row>
        <row r="1772">
          <cell r="D1772" t="str">
            <v>ISF2.8</v>
          </cell>
          <cell r="E1772" t="str">
            <v>管夹</v>
          </cell>
          <cell r="F1772">
            <v>2.63</v>
          </cell>
        </row>
        <row r="1773">
          <cell r="B1773">
            <v>5295466</v>
          </cell>
        </row>
        <row r="1773">
          <cell r="D1773">
            <v>0</v>
          </cell>
          <cell r="E1773" t="str">
            <v>管夹</v>
          </cell>
          <cell r="F1773">
            <v>2.63</v>
          </cell>
        </row>
        <row r="1774">
          <cell r="B1774">
            <v>5256192</v>
          </cell>
        </row>
        <row r="1774">
          <cell r="D1774" t="str">
            <v>ISF2.8</v>
          </cell>
          <cell r="E1774" t="str">
            <v>管夹</v>
          </cell>
          <cell r="F1774">
            <v>2.6</v>
          </cell>
        </row>
        <row r="1775">
          <cell r="B1775">
            <v>5285842</v>
          </cell>
        </row>
        <row r="1775">
          <cell r="D1775">
            <v>0</v>
          </cell>
          <cell r="E1775" t="str">
            <v>管夹</v>
          </cell>
          <cell r="F1775">
            <v>2.6</v>
          </cell>
        </row>
        <row r="1776">
          <cell r="B1776">
            <v>5283601</v>
          </cell>
        </row>
        <row r="1776">
          <cell r="D1776">
            <v>0</v>
          </cell>
          <cell r="E1776" t="str">
            <v>管夹</v>
          </cell>
          <cell r="F1776">
            <v>2.36</v>
          </cell>
        </row>
        <row r="1777">
          <cell r="B1777">
            <v>5263093</v>
          </cell>
        </row>
        <row r="1777">
          <cell r="D1777">
            <v>0</v>
          </cell>
          <cell r="E1777" t="str">
            <v>管夹</v>
          </cell>
          <cell r="F1777">
            <v>1.64</v>
          </cell>
        </row>
        <row r="1778">
          <cell r="B1778">
            <v>5558675</v>
          </cell>
        </row>
        <row r="1778">
          <cell r="D1778">
            <v>0</v>
          </cell>
          <cell r="E1778" t="str">
            <v>隔热罩支架</v>
          </cell>
          <cell r="F1778">
            <v>45.16</v>
          </cell>
        </row>
        <row r="1779">
          <cell r="B1779">
            <v>5558676</v>
          </cell>
        </row>
        <row r="1779">
          <cell r="D1779">
            <v>0</v>
          </cell>
          <cell r="E1779" t="str">
            <v>隔热罩支架</v>
          </cell>
          <cell r="F1779">
            <v>44.52</v>
          </cell>
        </row>
        <row r="1780">
          <cell r="B1780">
            <v>5582710</v>
          </cell>
        </row>
        <row r="1780">
          <cell r="D1780">
            <v>0</v>
          </cell>
          <cell r="E1780" t="str">
            <v>隔热罩支架</v>
          </cell>
          <cell r="F1780">
            <v>37.96</v>
          </cell>
        </row>
        <row r="1781">
          <cell r="B1781">
            <v>5585191</v>
          </cell>
        </row>
        <row r="1781">
          <cell r="D1781" t="str">
            <v>ISF2.8</v>
          </cell>
          <cell r="E1781" t="str">
            <v>隔热罩</v>
          </cell>
          <cell r="F1781">
            <v>189.475</v>
          </cell>
        </row>
        <row r="1782">
          <cell r="B1782">
            <v>5585662</v>
          </cell>
        </row>
        <row r="1782">
          <cell r="D1782">
            <v>0</v>
          </cell>
          <cell r="E1782" t="str">
            <v>隔热罩</v>
          </cell>
          <cell r="F1782">
            <v>191.4</v>
          </cell>
        </row>
        <row r="1783">
          <cell r="B1783">
            <v>5558674</v>
          </cell>
        </row>
        <row r="1783">
          <cell r="D1783">
            <v>0</v>
          </cell>
          <cell r="E1783" t="str">
            <v>隔热罩</v>
          </cell>
          <cell r="F1783">
            <v>256.23</v>
          </cell>
        </row>
        <row r="1784">
          <cell r="B1784">
            <v>5576011</v>
          </cell>
        </row>
        <row r="1784">
          <cell r="D1784">
            <v>0</v>
          </cell>
          <cell r="E1784" t="str">
            <v>隔热罩</v>
          </cell>
          <cell r="F1784">
            <v>236.6</v>
          </cell>
        </row>
        <row r="1785">
          <cell r="B1785">
            <v>5347151</v>
          </cell>
        </row>
        <row r="1785">
          <cell r="D1785">
            <v>0</v>
          </cell>
          <cell r="E1785" t="str">
            <v>隔热罩</v>
          </cell>
          <cell r="F1785">
            <v>195.2586</v>
          </cell>
        </row>
        <row r="1786">
          <cell r="B1786">
            <v>5558058</v>
          </cell>
        </row>
        <row r="1786">
          <cell r="D1786">
            <v>0</v>
          </cell>
          <cell r="E1786" t="str">
            <v>隔热罩</v>
          </cell>
          <cell r="F1786">
            <v>156.56</v>
          </cell>
        </row>
        <row r="1787">
          <cell r="B1787">
            <v>5614252</v>
          </cell>
        </row>
        <row r="1787">
          <cell r="D1787">
            <v>0</v>
          </cell>
          <cell r="E1787" t="str">
            <v>隔热罩</v>
          </cell>
          <cell r="F1787">
            <v>151.3</v>
          </cell>
        </row>
        <row r="1788">
          <cell r="B1788">
            <v>5576009</v>
          </cell>
        </row>
        <row r="1788">
          <cell r="D1788">
            <v>0</v>
          </cell>
          <cell r="E1788" t="str">
            <v>隔热罩</v>
          </cell>
          <cell r="F1788">
            <v>138.04</v>
          </cell>
        </row>
        <row r="1789">
          <cell r="B1789">
            <v>5614910</v>
          </cell>
        </row>
        <row r="1789">
          <cell r="D1789">
            <v>0</v>
          </cell>
          <cell r="E1789" t="str">
            <v>隔热罩</v>
          </cell>
          <cell r="F1789">
            <v>89.57</v>
          </cell>
        </row>
        <row r="1790">
          <cell r="B1790">
            <v>5685335</v>
          </cell>
        </row>
        <row r="1790">
          <cell r="D1790">
            <v>0</v>
          </cell>
          <cell r="E1790" t="str">
            <v>隔热罩</v>
          </cell>
          <cell r="F1790">
            <v>87.26</v>
          </cell>
        </row>
        <row r="1791">
          <cell r="B1791">
            <v>3697398</v>
          </cell>
        </row>
        <row r="1791">
          <cell r="D1791">
            <v>0</v>
          </cell>
          <cell r="E1791" t="str">
            <v>隔热罩</v>
          </cell>
          <cell r="F1791">
            <v>82.78</v>
          </cell>
        </row>
        <row r="1792">
          <cell r="B1792">
            <v>5585514</v>
          </cell>
        </row>
        <row r="1792">
          <cell r="D1792" t="str">
            <v>ISF2.8</v>
          </cell>
          <cell r="E1792" t="str">
            <v>隔热罩</v>
          </cell>
          <cell r="F1792">
            <v>36.66</v>
          </cell>
        </row>
        <row r="1793">
          <cell r="B1793">
            <v>5576029</v>
          </cell>
        </row>
        <row r="1793">
          <cell r="D1793">
            <v>0</v>
          </cell>
          <cell r="E1793" t="str">
            <v>隔热罩</v>
          </cell>
          <cell r="F1793">
            <v>91.8918</v>
          </cell>
        </row>
        <row r="1794">
          <cell r="B1794">
            <v>5666398</v>
          </cell>
        </row>
        <row r="1794">
          <cell r="D1794">
            <v>0</v>
          </cell>
          <cell r="E1794" t="str">
            <v>隔热罩</v>
          </cell>
          <cell r="F1794">
            <v>73.77</v>
          </cell>
        </row>
        <row r="1795">
          <cell r="B1795">
            <v>5527337</v>
          </cell>
        </row>
        <row r="1795">
          <cell r="D1795">
            <v>0</v>
          </cell>
          <cell r="E1795" t="str">
            <v>隔热罩</v>
          </cell>
          <cell r="F1795">
            <v>56.88</v>
          </cell>
        </row>
        <row r="1796">
          <cell r="B1796">
            <v>5367426</v>
          </cell>
        </row>
        <row r="1796">
          <cell r="D1796">
            <v>0</v>
          </cell>
          <cell r="E1796" t="str">
            <v>隔热罩</v>
          </cell>
          <cell r="F1796">
            <v>55.9368</v>
          </cell>
        </row>
        <row r="1797">
          <cell r="B1797">
            <v>5295900</v>
          </cell>
        </row>
        <row r="1797">
          <cell r="D1797">
            <v>0</v>
          </cell>
          <cell r="E1797" t="str">
            <v>隔热罩</v>
          </cell>
          <cell r="F1797">
            <v>42.43</v>
          </cell>
        </row>
        <row r="1798">
          <cell r="B1798">
            <v>5522480</v>
          </cell>
        </row>
        <row r="1798">
          <cell r="D1798">
            <v>0</v>
          </cell>
          <cell r="E1798" t="str">
            <v>隔热罩</v>
          </cell>
          <cell r="F1798">
            <v>34.76</v>
          </cell>
        </row>
        <row r="1799">
          <cell r="B1799">
            <v>5268245</v>
          </cell>
        </row>
        <row r="1799">
          <cell r="D1799" t="str">
            <v>ISF2.8</v>
          </cell>
          <cell r="E1799" t="str">
            <v>隔热罩</v>
          </cell>
          <cell r="F1799">
            <v>25.794</v>
          </cell>
        </row>
        <row r="1800">
          <cell r="B1800">
            <v>5483178</v>
          </cell>
        </row>
        <row r="1800">
          <cell r="D1800">
            <v>0</v>
          </cell>
          <cell r="E1800" t="str">
            <v>隔热罩</v>
          </cell>
          <cell r="F1800">
            <v>20.87</v>
          </cell>
        </row>
        <row r="1801">
          <cell r="B1801">
            <v>5263832</v>
          </cell>
        </row>
        <row r="1801">
          <cell r="D1801" t="str">
            <v>ISF3.8</v>
          </cell>
          <cell r="E1801" t="str">
            <v>隔热罩</v>
          </cell>
          <cell r="F1801">
            <v>7.33</v>
          </cell>
        </row>
        <row r="1802">
          <cell r="B1802">
            <v>5566967</v>
          </cell>
        </row>
        <row r="1802">
          <cell r="D1802">
            <v>0</v>
          </cell>
          <cell r="E1802" t="str">
            <v>高压油管</v>
          </cell>
          <cell r="F1802">
            <v>59.42</v>
          </cell>
        </row>
        <row r="1803">
          <cell r="B1803">
            <v>5566966</v>
          </cell>
        </row>
        <row r="1803">
          <cell r="D1803">
            <v>0</v>
          </cell>
          <cell r="E1803" t="str">
            <v>高压油管</v>
          </cell>
          <cell r="F1803">
            <v>57.59</v>
          </cell>
        </row>
        <row r="1804">
          <cell r="B1804">
            <v>4298242</v>
          </cell>
        </row>
        <row r="1804">
          <cell r="D1804" t="str">
            <v>ISG</v>
          </cell>
          <cell r="E1804" t="str">
            <v>高温双头螺柱</v>
          </cell>
          <cell r="F1804">
            <v>31.1661</v>
          </cell>
        </row>
        <row r="1805">
          <cell r="B1805">
            <v>5404350</v>
          </cell>
        </row>
        <row r="1805">
          <cell r="D1805">
            <v>0</v>
          </cell>
          <cell r="E1805" t="str">
            <v>高温双头螺柱</v>
          </cell>
          <cell r="F1805">
            <v>19.6605</v>
          </cell>
        </row>
        <row r="1806">
          <cell r="B1806">
            <v>5681331</v>
          </cell>
        </row>
        <row r="1806">
          <cell r="D1806">
            <v>0</v>
          </cell>
          <cell r="E1806" t="str">
            <v>高温双头螺柱</v>
          </cell>
          <cell r="F1806">
            <v>11.26</v>
          </cell>
        </row>
        <row r="1807">
          <cell r="B1807">
            <v>5567301</v>
          </cell>
        </row>
        <row r="1807">
          <cell r="D1807">
            <v>0</v>
          </cell>
          <cell r="E1807" t="str">
            <v>高温双头螺柱</v>
          </cell>
          <cell r="F1807">
            <v>9.69</v>
          </cell>
        </row>
        <row r="1808">
          <cell r="B1808">
            <v>5396584</v>
          </cell>
        </row>
        <row r="1808">
          <cell r="D1808">
            <v>0</v>
          </cell>
          <cell r="E1808" t="str">
            <v>高温螺栓</v>
          </cell>
          <cell r="F1808">
            <v>19.2474</v>
          </cell>
        </row>
        <row r="1809">
          <cell r="B1809">
            <v>5567302</v>
          </cell>
        </row>
        <row r="1809">
          <cell r="D1809">
            <v>0</v>
          </cell>
          <cell r="E1809" t="str">
            <v>高温螺栓</v>
          </cell>
          <cell r="F1809">
            <v>12.56</v>
          </cell>
        </row>
        <row r="1810">
          <cell r="B1810">
            <v>5582137</v>
          </cell>
        </row>
        <row r="1810">
          <cell r="D1810">
            <v>0</v>
          </cell>
          <cell r="E1810" t="str">
            <v>高温螺栓</v>
          </cell>
          <cell r="F1810">
            <v>3.62</v>
          </cell>
        </row>
        <row r="1811">
          <cell r="B1811">
            <v>5587484</v>
          </cell>
        </row>
        <row r="1811">
          <cell r="D1811" t="str">
            <v>ISF2.8</v>
          </cell>
          <cell r="E1811" t="str">
            <v>高温螺栓</v>
          </cell>
          <cell r="F1811">
            <v>1.94</v>
          </cell>
        </row>
        <row r="1812">
          <cell r="B1812">
            <v>5662118</v>
          </cell>
        </row>
        <row r="1812">
          <cell r="D1812">
            <v>0</v>
          </cell>
          <cell r="E1812" t="str">
            <v>缸体总成</v>
          </cell>
          <cell r="F1812">
            <v>15307.39</v>
          </cell>
        </row>
        <row r="1813">
          <cell r="B1813">
            <v>5615319</v>
          </cell>
        </row>
        <row r="1813">
          <cell r="D1813">
            <v>0</v>
          </cell>
          <cell r="E1813" t="str">
            <v>缸体总成</v>
          </cell>
          <cell r="F1813">
            <v>16458.3377</v>
          </cell>
        </row>
        <row r="1814">
          <cell r="B1814">
            <v>3695825</v>
          </cell>
        </row>
        <row r="1814">
          <cell r="D1814" t="str">
            <v>ISG</v>
          </cell>
          <cell r="E1814" t="str">
            <v>缸体小盖板</v>
          </cell>
          <cell r="F1814">
            <v>10.59</v>
          </cell>
        </row>
        <row r="1815">
          <cell r="B1815">
            <v>5575467</v>
          </cell>
        </row>
        <row r="1815">
          <cell r="D1815">
            <v>0</v>
          </cell>
          <cell r="E1815" t="str">
            <v>缸体小盖板</v>
          </cell>
          <cell r="F1815">
            <v>8.78</v>
          </cell>
        </row>
        <row r="1816">
          <cell r="B1816">
            <v>5558024</v>
          </cell>
        </row>
        <row r="1816">
          <cell r="D1816">
            <v>0</v>
          </cell>
          <cell r="E1816" t="str">
            <v>缸体小盖板</v>
          </cell>
          <cell r="F1816">
            <v>8.42</v>
          </cell>
        </row>
        <row r="1817">
          <cell r="B1817">
            <v>5486623</v>
          </cell>
        </row>
        <row r="1817">
          <cell r="D1817">
            <v>0</v>
          </cell>
          <cell r="E1817" t="str">
            <v>缸体加强板</v>
          </cell>
          <cell r="F1817">
            <v>317.16</v>
          </cell>
        </row>
        <row r="1818">
          <cell r="B1818">
            <v>3696683</v>
          </cell>
        </row>
        <row r="1818">
          <cell r="D1818" t="str">
            <v>ISG</v>
          </cell>
          <cell r="E1818" t="str">
            <v>缸体加强板</v>
          </cell>
          <cell r="F1818">
            <v>242.892</v>
          </cell>
        </row>
        <row r="1819">
          <cell r="B1819">
            <v>5336066</v>
          </cell>
          <cell r="C1819">
            <v>4945794</v>
          </cell>
          <cell r="D1819">
            <v>0</v>
          </cell>
          <cell r="E1819" t="str">
            <v>缸体加强板</v>
          </cell>
          <cell r="F1819">
            <v>56.484</v>
          </cell>
        </row>
        <row r="1820">
          <cell r="B1820">
            <v>5288833</v>
          </cell>
        </row>
        <row r="1820">
          <cell r="D1820" t="str">
            <v>ISF3.8</v>
          </cell>
          <cell r="E1820" t="str">
            <v>缸体加强板</v>
          </cell>
          <cell r="F1820">
            <v>42.904</v>
          </cell>
        </row>
        <row r="1821">
          <cell r="B1821">
            <v>5710547</v>
          </cell>
        </row>
        <row r="1821">
          <cell r="D1821">
            <v>0</v>
          </cell>
          <cell r="E1821" t="str">
            <v>缸体</v>
          </cell>
          <cell r="F1821">
            <v>18808.0756</v>
          </cell>
        </row>
        <row r="1822">
          <cell r="B1822">
            <v>5558007</v>
          </cell>
        </row>
        <row r="1822">
          <cell r="D1822">
            <v>0</v>
          </cell>
          <cell r="E1822" t="str">
            <v>缸体</v>
          </cell>
          <cell r="F1822">
            <v>13915.79</v>
          </cell>
        </row>
        <row r="1823">
          <cell r="B1823">
            <v>5615320</v>
          </cell>
        </row>
        <row r="1823">
          <cell r="D1823" t="str">
            <v>ISG</v>
          </cell>
          <cell r="E1823" t="str">
            <v>缸体</v>
          </cell>
          <cell r="F1823">
            <v>15673.4021</v>
          </cell>
        </row>
        <row r="1824">
          <cell r="B1824">
            <v>5317169</v>
          </cell>
        </row>
        <row r="1824">
          <cell r="D1824">
            <v>0</v>
          </cell>
          <cell r="E1824" t="str">
            <v>缸体</v>
          </cell>
          <cell r="F1824">
            <v>5614.2998</v>
          </cell>
        </row>
        <row r="1825">
          <cell r="B1825">
            <v>5567406</v>
          </cell>
        </row>
        <row r="1825">
          <cell r="D1825" t="str">
            <v>ISF2.8</v>
          </cell>
          <cell r="E1825" t="str">
            <v>缸体</v>
          </cell>
          <cell r="F1825">
            <v>4996.87</v>
          </cell>
        </row>
        <row r="1826">
          <cell r="B1826">
            <v>5528792</v>
          </cell>
          <cell r="C1826" t="str">
            <v>5306414/5289699</v>
          </cell>
          <cell r="D1826">
            <v>0</v>
          </cell>
          <cell r="E1826" t="str">
            <v>缸体</v>
          </cell>
          <cell r="F1826">
            <v>5404.1221</v>
          </cell>
        </row>
        <row r="1827">
          <cell r="B1827">
            <v>5346536</v>
          </cell>
          <cell r="C1827" t="str">
            <v>5256400/5289698/5306413</v>
          </cell>
          <cell r="D1827" t="str">
            <v>ISF3.8</v>
          </cell>
          <cell r="E1827" t="str">
            <v>缸体</v>
          </cell>
          <cell r="F1827">
            <v>5383.8984</v>
          </cell>
        </row>
        <row r="1828">
          <cell r="B1828">
            <v>6486771</v>
          </cell>
          <cell r="C1828" t="str">
            <v>5261257/5261256/5334639</v>
          </cell>
          <cell r="D1828" t="str">
            <v>ISF2.8</v>
          </cell>
          <cell r="E1828" t="str">
            <v>缸体</v>
          </cell>
          <cell r="F1828">
            <v>4189.18</v>
          </cell>
        </row>
        <row r="1829">
          <cell r="B1829">
            <v>3695169</v>
          </cell>
        </row>
        <row r="1829">
          <cell r="D1829">
            <v>0</v>
          </cell>
          <cell r="E1829" t="str">
            <v>缸套</v>
          </cell>
          <cell r="F1829">
            <v>262.02</v>
          </cell>
        </row>
        <row r="1830">
          <cell r="B1830">
            <v>5614277</v>
          </cell>
        </row>
        <row r="1830">
          <cell r="D1830">
            <v>0</v>
          </cell>
          <cell r="E1830" t="str">
            <v>缸套</v>
          </cell>
          <cell r="F1830">
            <v>179.02</v>
          </cell>
        </row>
        <row r="1831">
          <cell r="B1831">
            <v>5537405</v>
          </cell>
        </row>
        <row r="1831">
          <cell r="D1831" t="str">
            <v>ISG</v>
          </cell>
          <cell r="E1831" t="str">
            <v>缸套</v>
          </cell>
          <cell r="F1831">
            <v>195.7941</v>
          </cell>
        </row>
        <row r="1832">
          <cell r="B1832">
            <v>5486581</v>
          </cell>
        </row>
        <row r="1832">
          <cell r="D1832" t="str">
            <v>ISG</v>
          </cell>
          <cell r="E1832" t="str">
            <v>缸套</v>
          </cell>
          <cell r="F1832">
            <v>163.9395</v>
          </cell>
        </row>
        <row r="1833">
          <cell r="B1833">
            <v>5710693</v>
          </cell>
        </row>
        <row r="1833">
          <cell r="D1833">
            <v>0</v>
          </cell>
          <cell r="E1833" t="str">
            <v>缸盖总成</v>
          </cell>
          <cell r="F1833">
            <v>13626.09</v>
          </cell>
        </row>
        <row r="1834">
          <cell r="B1834">
            <v>5661625</v>
          </cell>
        </row>
        <row r="1834">
          <cell r="D1834">
            <v>0</v>
          </cell>
          <cell r="E1834" t="str">
            <v>缸盖总成</v>
          </cell>
          <cell r="F1834">
            <v>14801.1707</v>
          </cell>
        </row>
        <row r="1835">
          <cell r="B1835">
            <v>5271866</v>
          </cell>
          <cell r="C1835">
            <v>5258274</v>
          </cell>
          <cell r="D1835" t="str">
            <v>ISF3.8</v>
          </cell>
          <cell r="E1835" t="str">
            <v>缸盖总成</v>
          </cell>
          <cell r="F1835">
            <v>3670.94</v>
          </cell>
        </row>
        <row r="1836">
          <cell r="B1836">
            <v>5345647</v>
          </cell>
          <cell r="C1836">
            <v>5257187</v>
          </cell>
          <cell r="D1836" t="str">
            <v>ISF2.8</v>
          </cell>
          <cell r="E1836" t="str">
            <v>缸盖密封垫（国五）</v>
          </cell>
          <cell r="F1836">
            <v>79.9731</v>
          </cell>
        </row>
        <row r="1837">
          <cell r="B1837">
            <v>6475688</v>
          </cell>
          <cell r="C1837">
            <v>5474318</v>
          </cell>
          <cell r="D1837" t="str">
            <v>ISF2.8</v>
          </cell>
          <cell r="E1837" t="str">
            <v>缸盖密封垫（国六）</v>
          </cell>
          <cell r="F1837">
            <v>99.0828</v>
          </cell>
        </row>
        <row r="1838">
          <cell r="B1838">
            <v>5537176</v>
          </cell>
        </row>
        <row r="1838">
          <cell r="D1838">
            <v>0</v>
          </cell>
          <cell r="E1838" t="str">
            <v>缸盖密封垫</v>
          </cell>
          <cell r="F1838">
            <v>756.9216</v>
          </cell>
        </row>
        <row r="1839">
          <cell r="B1839">
            <v>5558113</v>
          </cell>
        </row>
        <row r="1839">
          <cell r="D1839" t="str">
            <v>ISG</v>
          </cell>
          <cell r="E1839" t="str">
            <v>缸盖密封垫</v>
          </cell>
          <cell r="F1839">
            <v>436.0959</v>
          </cell>
        </row>
        <row r="1840">
          <cell r="B1840">
            <v>5345651</v>
          </cell>
        </row>
        <row r="1840">
          <cell r="D1840" t="str">
            <v>ISF4.5</v>
          </cell>
          <cell r="E1840" t="str">
            <v>缸盖密封垫</v>
          </cell>
          <cell r="F1840">
            <v>130.6314</v>
          </cell>
        </row>
        <row r="1841">
          <cell r="B1841">
            <v>5345648</v>
          </cell>
          <cell r="C1841">
            <v>4943051</v>
          </cell>
          <cell r="D1841" t="str">
            <v>ISF3.8</v>
          </cell>
          <cell r="E1841" t="str">
            <v>缸盖密封垫</v>
          </cell>
          <cell r="F1841">
            <v>108.783</v>
          </cell>
        </row>
        <row r="1842">
          <cell r="B1842">
            <v>6375215</v>
          </cell>
          <cell r="C1842">
            <v>5661630</v>
          </cell>
          <cell r="D1842" t="e">
            <v>#N/A</v>
          </cell>
          <cell r="E1842" t="str">
            <v>缸盖</v>
          </cell>
          <cell r="F1842">
            <v>14453.16</v>
          </cell>
        </row>
        <row r="1843">
          <cell r="B1843">
            <v>5558171</v>
          </cell>
        </row>
        <row r="1843">
          <cell r="D1843">
            <v>0</v>
          </cell>
          <cell r="E1843" t="str">
            <v>缸盖</v>
          </cell>
          <cell r="F1843">
            <v>9735.4</v>
          </cell>
        </row>
        <row r="1844">
          <cell r="B1844">
            <v>5626174</v>
          </cell>
          <cell r="C1844">
            <v>5569074</v>
          </cell>
          <cell r="D1844" t="str">
            <v>ISF2.8</v>
          </cell>
          <cell r="E1844" t="str">
            <v>缸盖</v>
          </cell>
          <cell r="F1844">
            <v>3846.5</v>
          </cell>
        </row>
        <row r="1845">
          <cell r="B1845">
            <v>5565074</v>
          </cell>
        </row>
        <row r="1845">
          <cell r="D1845">
            <v>0</v>
          </cell>
          <cell r="E1845" t="str">
            <v>缸盖</v>
          </cell>
          <cell r="F1845">
            <v>3709.872</v>
          </cell>
        </row>
        <row r="1846">
          <cell r="B1846">
            <v>5624923</v>
          </cell>
          <cell r="C1846">
            <v>5565205</v>
          </cell>
          <cell r="D1846">
            <v>0</v>
          </cell>
          <cell r="E1846" t="str">
            <v>缸盖</v>
          </cell>
          <cell r="F1846">
            <v>3846.5</v>
          </cell>
        </row>
        <row r="1847">
          <cell r="B1847">
            <v>5712831</v>
          </cell>
        </row>
        <row r="1847">
          <cell r="D1847">
            <v>0</v>
          </cell>
          <cell r="E1847" t="str">
            <v>缸盖</v>
          </cell>
          <cell r="F1847">
            <v>3902.1707</v>
          </cell>
        </row>
        <row r="1848">
          <cell r="B1848">
            <v>5307154</v>
          </cell>
          <cell r="C1848">
            <v>5271176</v>
          </cell>
          <cell r="D1848" t="str">
            <v>ISF2.8</v>
          </cell>
          <cell r="E1848" t="str">
            <v>缸盖</v>
          </cell>
          <cell r="F1848">
            <v>3618.4161</v>
          </cell>
        </row>
        <row r="1849">
          <cell r="B1849">
            <v>5371096</v>
          </cell>
        </row>
        <row r="1849">
          <cell r="D1849">
            <v>0</v>
          </cell>
          <cell r="E1849" t="str">
            <v>钢丝型弹性环箍</v>
          </cell>
          <cell r="F1849">
            <v>9.15</v>
          </cell>
        </row>
        <row r="1850">
          <cell r="B1850">
            <v>5303544</v>
          </cell>
        </row>
        <row r="1850">
          <cell r="D1850">
            <v>0</v>
          </cell>
          <cell r="E1850" t="str">
            <v>钢丝型弹性环箍</v>
          </cell>
          <cell r="F1850">
            <v>4.86</v>
          </cell>
        </row>
        <row r="1851">
          <cell r="B1851">
            <v>5296283</v>
          </cell>
        </row>
        <row r="1851">
          <cell r="D1851">
            <v>0</v>
          </cell>
          <cell r="E1851" t="str">
            <v>钢丝型弹性环箍</v>
          </cell>
          <cell r="F1851">
            <v>4.76</v>
          </cell>
        </row>
        <row r="1852">
          <cell r="B1852">
            <v>5308088</v>
          </cell>
        </row>
        <row r="1852">
          <cell r="D1852">
            <v>0</v>
          </cell>
          <cell r="E1852" t="str">
            <v>钢丝型弹性环箍</v>
          </cell>
          <cell r="F1852">
            <v>4.54</v>
          </cell>
        </row>
        <row r="1853">
          <cell r="B1853">
            <v>5269352</v>
          </cell>
        </row>
        <row r="1853">
          <cell r="D1853" t="str">
            <v>ISF2.8</v>
          </cell>
          <cell r="E1853" t="str">
            <v>钢丝型弹性环箍</v>
          </cell>
          <cell r="F1853">
            <v>3.99</v>
          </cell>
        </row>
        <row r="1854">
          <cell r="B1854">
            <v>5284130</v>
          </cell>
        </row>
        <row r="1854">
          <cell r="D1854" t="str">
            <v>ISF2.8</v>
          </cell>
          <cell r="E1854" t="str">
            <v>钢丝型弹性环箍</v>
          </cell>
          <cell r="F1854">
            <v>3.8</v>
          </cell>
        </row>
        <row r="1855">
          <cell r="B1855">
            <v>5308087</v>
          </cell>
        </row>
        <row r="1855">
          <cell r="D1855">
            <v>0</v>
          </cell>
          <cell r="E1855" t="str">
            <v>钢丝型弹性环箍</v>
          </cell>
          <cell r="F1855">
            <v>3.68</v>
          </cell>
        </row>
        <row r="1856">
          <cell r="B1856">
            <v>3697613</v>
          </cell>
        </row>
        <row r="1856">
          <cell r="D1856">
            <v>0</v>
          </cell>
          <cell r="E1856" t="str">
            <v>钢丝型弹性环箍</v>
          </cell>
          <cell r="F1856">
            <v>3.43</v>
          </cell>
        </row>
        <row r="1857">
          <cell r="B1857">
            <v>3697614</v>
          </cell>
        </row>
        <row r="1857">
          <cell r="D1857">
            <v>0</v>
          </cell>
          <cell r="E1857" t="str">
            <v>钢丝型弹性环箍</v>
          </cell>
          <cell r="F1857">
            <v>3.43</v>
          </cell>
        </row>
        <row r="1858">
          <cell r="B1858">
            <v>5662347</v>
          </cell>
        </row>
        <row r="1858">
          <cell r="D1858">
            <v>0</v>
          </cell>
          <cell r="E1858" t="str">
            <v>钢丝型弹性环箍</v>
          </cell>
          <cell r="F1858">
            <v>3.4</v>
          </cell>
        </row>
        <row r="1859">
          <cell r="B1859">
            <v>3697607</v>
          </cell>
        </row>
        <row r="1859">
          <cell r="D1859">
            <v>0</v>
          </cell>
          <cell r="E1859" t="str">
            <v>钢丝型弹性环箍</v>
          </cell>
          <cell r="F1859">
            <v>3.39</v>
          </cell>
        </row>
        <row r="1860">
          <cell r="B1860">
            <v>5371094</v>
          </cell>
        </row>
        <row r="1860">
          <cell r="D1860">
            <v>0</v>
          </cell>
          <cell r="E1860" t="str">
            <v>钢丝型弹性环箍</v>
          </cell>
          <cell r="F1860">
            <v>3.34</v>
          </cell>
        </row>
        <row r="1861">
          <cell r="B1861">
            <v>3944814</v>
          </cell>
        </row>
        <row r="1861">
          <cell r="D1861" t="str">
            <v>ISF2.8</v>
          </cell>
          <cell r="E1861" t="str">
            <v>钢丝型弹性环箍</v>
          </cell>
          <cell r="F1861">
            <v>3.2</v>
          </cell>
        </row>
        <row r="1862">
          <cell r="B1862">
            <v>4970016</v>
          </cell>
        </row>
        <row r="1862">
          <cell r="D1862">
            <v>0</v>
          </cell>
          <cell r="E1862" t="str">
            <v>钢丝型弹性环箍</v>
          </cell>
          <cell r="F1862">
            <v>3.07</v>
          </cell>
        </row>
        <row r="1863">
          <cell r="B1863">
            <v>5297527</v>
          </cell>
        </row>
        <row r="1863">
          <cell r="D1863" t="str">
            <v>ISF2.8</v>
          </cell>
          <cell r="E1863" t="str">
            <v>钢丝型弹性环箍</v>
          </cell>
          <cell r="F1863">
            <v>2.93</v>
          </cell>
        </row>
        <row r="1864">
          <cell r="B1864">
            <v>3917995</v>
          </cell>
        </row>
        <row r="1864">
          <cell r="D1864" t="str">
            <v>ISF3.8</v>
          </cell>
          <cell r="E1864" t="str">
            <v>钢丝型弹性环箍</v>
          </cell>
          <cell r="F1864">
            <v>2.88</v>
          </cell>
        </row>
        <row r="1865">
          <cell r="B1865">
            <v>5334797</v>
          </cell>
        </row>
        <row r="1865">
          <cell r="D1865">
            <v>0</v>
          </cell>
          <cell r="E1865" t="str">
            <v>钢丝型弹性环箍</v>
          </cell>
          <cell r="F1865">
            <v>2.49</v>
          </cell>
        </row>
        <row r="1866">
          <cell r="B1866">
            <v>5294162</v>
          </cell>
        </row>
        <row r="1866">
          <cell r="D1866">
            <v>0</v>
          </cell>
          <cell r="E1866" t="str">
            <v>钢丝型弹性环箍</v>
          </cell>
          <cell r="F1866">
            <v>3.14</v>
          </cell>
        </row>
        <row r="1867">
          <cell r="B1867">
            <v>5293803</v>
          </cell>
        </row>
        <row r="1867">
          <cell r="D1867">
            <v>0</v>
          </cell>
          <cell r="E1867" t="str">
            <v>钢丝型弹性环箍</v>
          </cell>
          <cell r="F1867">
            <v>1.44</v>
          </cell>
        </row>
        <row r="1868">
          <cell r="B1868">
            <v>5529690</v>
          </cell>
        </row>
        <row r="1868">
          <cell r="D1868" t="str">
            <v>ISF2.8</v>
          </cell>
          <cell r="E1868" t="str">
            <v>盖板密封垫</v>
          </cell>
          <cell r="F1868">
            <v>40</v>
          </cell>
        </row>
        <row r="1869">
          <cell r="B1869">
            <v>5521024</v>
          </cell>
        </row>
        <row r="1869">
          <cell r="D1869" t="str">
            <v>ISF2.8</v>
          </cell>
          <cell r="E1869" t="str">
            <v>盖板密封垫</v>
          </cell>
          <cell r="F1869">
            <v>34.05</v>
          </cell>
        </row>
        <row r="1870">
          <cell r="B1870">
            <v>5269878</v>
          </cell>
        </row>
        <row r="1870">
          <cell r="D1870" t="str">
            <v>ISF2.8/3.8</v>
          </cell>
          <cell r="E1870" t="str">
            <v>盖板</v>
          </cell>
          <cell r="F1870">
            <v>104.9274</v>
          </cell>
        </row>
        <row r="1871">
          <cell r="B1871">
            <v>3200782</v>
          </cell>
        </row>
        <row r="1871">
          <cell r="D1871">
            <v>0</v>
          </cell>
          <cell r="E1871" t="str">
            <v>盖板</v>
          </cell>
          <cell r="F1871">
            <v>98.53</v>
          </cell>
        </row>
        <row r="1872">
          <cell r="B1872">
            <v>5335321</v>
          </cell>
        </row>
        <row r="1872">
          <cell r="D1872">
            <v>0</v>
          </cell>
          <cell r="E1872" t="str">
            <v>盖板</v>
          </cell>
          <cell r="F1872">
            <v>62.271</v>
          </cell>
        </row>
        <row r="1873">
          <cell r="B1873">
            <v>5568648</v>
          </cell>
        </row>
        <row r="1873">
          <cell r="D1873">
            <v>0</v>
          </cell>
          <cell r="E1873" t="str">
            <v>盖板</v>
          </cell>
          <cell r="F1873">
            <v>51.4386</v>
          </cell>
        </row>
        <row r="1874">
          <cell r="B1874">
            <v>3914868</v>
          </cell>
        </row>
        <row r="1874">
          <cell r="D1874">
            <v>0</v>
          </cell>
          <cell r="E1874" t="str">
            <v>盖板</v>
          </cell>
          <cell r="F1874">
            <v>19.86</v>
          </cell>
        </row>
        <row r="1875">
          <cell r="B1875">
            <v>5268143</v>
          </cell>
        </row>
        <row r="1875">
          <cell r="D1875">
            <v>0</v>
          </cell>
          <cell r="E1875" t="str">
            <v>盖板</v>
          </cell>
          <cell r="F1875">
            <v>18.23</v>
          </cell>
        </row>
        <row r="1876">
          <cell r="B1876">
            <v>4899705</v>
          </cell>
        </row>
        <row r="1876">
          <cell r="D1876">
            <v>0</v>
          </cell>
          <cell r="E1876" t="str">
            <v>盖板</v>
          </cell>
          <cell r="F1876">
            <v>15.3</v>
          </cell>
        </row>
        <row r="1877">
          <cell r="B1877">
            <v>5562909</v>
          </cell>
          <cell r="C1877">
            <v>5301652</v>
          </cell>
          <cell r="D1877" t="str">
            <v>isf2.8/3.8</v>
          </cell>
          <cell r="E1877" t="str">
            <v>复合密封圈</v>
          </cell>
          <cell r="F1877">
            <v>9</v>
          </cell>
        </row>
        <row r="1878">
          <cell r="B1878">
            <v>5569316</v>
          </cell>
          <cell r="C1878" t="str">
            <v>5317268/4940584</v>
          </cell>
          <cell r="D1878" t="str">
            <v>ISF3.8</v>
          </cell>
          <cell r="E1878" t="str">
            <v>复合密封圈</v>
          </cell>
          <cell r="F1878">
            <v>5.73</v>
          </cell>
        </row>
        <row r="1879">
          <cell r="B1879">
            <v>3698442</v>
          </cell>
        </row>
        <row r="1879">
          <cell r="D1879">
            <v>0</v>
          </cell>
          <cell r="E1879" t="str">
            <v>附件支架</v>
          </cell>
          <cell r="F1879">
            <v>111.8583</v>
          </cell>
        </row>
        <row r="1880">
          <cell r="B1880">
            <v>5305219</v>
          </cell>
        </row>
        <row r="1880">
          <cell r="D1880">
            <v>0</v>
          </cell>
          <cell r="E1880" t="str">
            <v>附件支架</v>
          </cell>
          <cell r="F1880">
            <v>20.67</v>
          </cell>
        </row>
        <row r="1881">
          <cell r="B1881">
            <v>5575843</v>
          </cell>
        </row>
        <row r="1881">
          <cell r="D1881">
            <v>0</v>
          </cell>
          <cell r="E1881" t="str">
            <v>附件驱动皮带轮</v>
          </cell>
          <cell r="F1881">
            <v>363.51</v>
          </cell>
        </row>
        <row r="1882">
          <cell r="B1882">
            <v>5285728</v>
          </cell>
        </row>
        <row r="1882">
          <cell r="D1882">
            <v>0</v>
          </cell>
          <cell r="E1882" t="str">
            <v>附件驱动皮带轮</v>
          </cell>
          <cell r="F1882">
            <v>179.2089</v>
          </cell>
        </row>
        <row r="1883">
          <cell r="B1883">
            <v>5266066</v>
          </cell>
        </row>
        <row r="1883">
          <cell r="D1883">
            <v>0</v>
          </cell>
          <cell r="E1883" t="str">
            <v>附件驱动盖板密封垫</v>
          </cell>
          <cell r="F1883">
            <v>19.206</v>
          </cell>
        </row>
        <row r="1884">
          <cell r="B1884">
            <v>4896897</v>
          </cell>
        </row>
        <row r="1884">
          <cell r="D1884" t="str">
            <v>ISG</v>
          </cell>
          <cell r="E1884" t="str">
            <v>附件驱动盖板密封垫</v>
          </cell>
          <cell r="F1884">
            <v>22.338</v>
          </cell>
        </row>
        <row r="1885">
          <cell r="B1885">
            <v>3971520</v>
          </cell>
        </row>
        <row r="1885">
          <cell r="D1885" t="str">
            <v>ISF3.8</v>
          </cell>
          <cell r="E1885" t="str">
            <v>附件驱动齿轮</v>
          </cell>
          <cell r="F1885">
            <v>82.73</v>
          </cell>
        </row>
        <row r="1886">
          <cell r="B1886">
            <v>5344173</v>
          </cell>
        </row>
        <row r="1886">
          <cell r="D1886">
            <v>0</v>
          </cell>
          <cell r="E1886" t="str">
            <v>辅助驱动装置滑轮</v>
          </cell>
          <cell r="F1886">
            <v>92.3202</v>
          </cell>
        </row>
        <row r="1887">
          <cell r="B1887">
            <v>5262503</v>
          </cell>
        </row>
        <row r="1887">
          <cell r="D1887" t="str">
            <v>ISF2.8</v>
          </cell>
          <cell r="E1887" t="str">
            <v>风扇支架(国五康瑞H3)</v>
          </cell>
          <cell r="F1887">
            <v>239.72</v>
          </cell>
        </row>
        <row r="1888">
          <cell r="B1888">
            <v>5486261</v>
          </cell>
          <cell r="C1888">
            <v>3696220</v>
          </cell>
          <cell r="D1888">
            <v>0</v>
          </cell>
          <cell r="E1888" t="str">
            <v>风扇支架</v>
          </cell>
          <cell r="F1888">
            <v>741.8358</v>
          </cell>
        </row>
        <row r="1889">
          <cell r="B1889">
            <v>5402101</v>
          </cell>
        </row>
        <row r="1889">
          <cell r="D1889">
            <v>0</v>
          </cell>
          <cell r="E1889" t="str">
            <v>风扇支架</v>
          </cell>
          <cell r="F1889">
            <v>418.761</v>
          </cell>
        </row>
        <row r="1890">
          <cell r="B1890">
            <v>5349058</v>
          </cell>
        </row>
        <row r="1890">
          <cell r="D1890">
            <v>0</v>
          </cell>
          <cell r="E1890" t="str">
            <v>风扇支架</v>
          </cell>
          <cell r="F1890">
            <v>297.64</v>
          </cell>
        </row>
        <row r="1891">
          <cell r="B1891">
            <v>5294349</v>
          </cell>
        </row>
        <row r="1891">
          <cell r="D1891">
            <v>0</v>
          </cell>
          <cell r="E1891" t="str">
            <v>风扇支架</v>
          </cell>
          <cell r="F1891">
            <v>309.68</v>
          </cell>
        </row>
        <row r="1892">
          <cell r="B1892">
            <v>5270378</v>
          </cell>
        </row>
        <row r="1892">
          <cell r="D1892" t="str">
            <v>ISF2.8</v>
          </cell>
          <cell r="E1892" t="str">
            <v>风扇支架</v>
          </cell>
          <cell r="F1892">
            <v>284.05</v>
          </cell>
        </row>
        <row r="1893">
          <cell r="B1893">
            <v>4934464</v>
          </cell>
          <cell r="C1893">
            <v>4941319</v>
          </cell>
          <cell r="D1893" t="str">
            <v>ISF3.8</v>
          </cell>
          <cell r="E1893" t="str">
            <v>风扇支架</v>
          </cell>
          <cell r="F1893">
            <v>248.88</v>
          </cell>
        </row>
        <row r="1894">
          <cell r="B1894">
            <v>5399963</v>
          </cell>
        </row>
        <row r="1894">
          <cell r="D1894">
            <v>0</v>
          </cell>
          <cell r="E1894" t="str">
            <v>风扇支架</v>
          </cell>
          <cell r="F1894">
            <v>239.4</v>
          </cell>
        </row>
        <row r="1895">
          <cell r="B1895">
            <v>3698004</v>
          </cell>
        </row>
        <row r="1895">
          <cell r="D1895">
            <v>0</v>
          </cell>
          <cell r="E1895" t="str">
            <v>风扇支架</v>
          </cell>
          <cell r="F1895">
            <v>214.82</v>
          </cell>
        </row>
        <row r="1896">
          <cell r="B1896">
            <v>3698005</v>
          </cell>
        </row>
        <row r="1896">
          <cell r="D1896">
            <v>0</v>
          </cell>
          <cell r="E1896" t="str">
            <v>风扇支架</v>
          </cell>
          <cell r="F1896">
            <v>214.82</v>
          </cell>
        </row>
        <row r="1897">
          <cell r="B1897">
            <v>3698379</v>
          </cell>
        </row>
        <row r="1897">
          <cell r="D1897">
            <v>0</v>
          </cell>
          <cell r="E1897" t="str">
            <v>风扇罩支架</v>
          </cell>
          <cell r="F1897">
            <v>2877.07</v>
          </cell>
        </row>
        <row r="1898">
          <cell r="B1898">
            <v>3698377</v>
          </cell>
        </row>
        <row r="1898">
          <cell r="D1898">
            <v>0</v>
          </cell>
          <cell r="E1898" t="str">
            <v>风扇罩支架</v>
          </cell>
          <cell r="F1898">
            <v>130.97</v>
          </cell>
        </row>
        <row r="1899">
          <cell r="B1899">
            <v>3698307</v>
          </cell>
        </row>
        <row r="1899">
          <cell r="D1899">
            <v>0</v>
          </cell>
          <cell r="E1899" t="str">
            <v>风扇皮带轮</v>
          </cell>
          <cell r="F1899">
            <v>384.42</v>
          </cell>
        </row>
        <row r="1900">
          <cell r="B1900">
            <v>3696559</v>
          </cell>
        </row>
        <row r="1900">
          <cell r="D1900">
            <v>0</v>
          </cell>
          <cell r="E1900" t="str">
            <v>风扇皮带轮</v>
          </cell>
          <cell r="F1900">
            <v>381.8421</v>
          </cell>
        </row>
        <row r="1901">
          <cell r="B1901">
            <v>5344102</v>
          </cell>
        </row>
        <row r="1901">
          <cell r="D1901">
            <v>0</v>
          </cell>
          <cell r="E1901" t="str">
            <v>风扇皮带轮</v>
          </cell>
          <cell r="F1901">
            <v>147.6297</v>
          </cell>
        </row>
        <row r="1902">
          <cell r="B1902">
            <v>5417272</v>
          </cell>
        </row>
        <row r="1902">
          <cell r="D1902">
            <v>0</v>
          </cell>
          <cell r="E1902" t="str">
            <v>风扇皮带轮</v>
          </cell>
          <cell r="F1902">
            <v>143.4069</v>
          </cell>
        </row>
        <row r="1903">
          <cell r="B1903">
            <v>3696368</v>
          </cell>
        </row>
        <row r="1903">
          <cell r="D1903">
            <v>0</v>
          </cell>
          <cell r="E1903" t="str">
            <v>风扇皮带轮</v>
          </cell>
          <cell r="F1903">
            <v>103.1985</v>
          </cell>
        </row>
        <row r="1904">
          <cell r="B1904">
            <v>5399966</v>
          </cell>
        </row>
        <row r="1904">
          <cell r="D1904">
            <v>0</v>
          </cell>
          <cell r="E1904" t="str">
            <v>风扇皮带轮</v>
          </cell>
          <cell r="F1904">
            <v>54.0243</v>
          </cell>
        </row>
        <row r="1905">
          <cell r="B1905">
            <v>5313493</v>
          </cell>
        </row>
        <row r="1905">
          <cell r="D1905">
            <v>0</v>
          </cell>
          <cell r="E1905" t="str">
            <v>风扇皮带轮</v>
          </cell>
          <cell r="F1905">
            <v>41.8761</v>
          </cell>
        </row>
        <row r="1906">
          <cell r="B1906">
            <v>4934465</v>
          </cell>
        </row>
        <row r="1906">
          <cell r="D1906" t="str">
            <v>ISF3.8</v>
          </cell>
          <cell r="E1906" t="str">
            <v>风扇皮带轮</v>
          </cell>
          <cell r="F1906">
            <v>30.65</v>
          </cell>
        </row>
        <row r="1907">
          <cell r="B1907">
            <v>5254651</v>
          </cell>
        </row>
        <row r="1907">
          <cell r="D1907" t="str">
            <v>ISF2.8</v>
          </cell>
          <cell r="E1907" t="str">
            <v>风扇皮带轮</v>
          </cell>
          <cell r="F1907">
            <v>22.58</v>
          </cell>
        </row>
        <row r="1908">
          <cell r="B1908">
            <v>5270363</v>
          </cell>
        </row>
        <row r="1908">
          <cell r="D1908" t="str">
            <v>ISF2.8</v>
          </cell>
          <cell r="E1908" t="str">
            <v>风扇皮带轮</v>
          </cell>
          <cell r="F1908">
            <v>22.7664</v>
          </cell>
        </row>
        <row r="1909">
          <cell r="B1909">
            <v>3923044</v>
          </cell>
        </row>
        <row r="1909">
          <cell r="D1909" t="str">
            <v>ISF2.8/3.8</v>
          </cell>
          <cell r="E1909" t="str">
            <v>风扇轮毂座圈</v>
          </cell>
          <cell r="F1909">
            <v>19.584</v>
          </cell>
        </row>
        <row r="1910">
          <cell r="B1910">
            <v>5371692</v>
          </cell>
        </row>
        <row r="1910">
          <cell r="D1910">
            <v>0</v>
          </cell>
          <cell r="E1910" t="str">
            <v>风扇轮毂</v>
          </cell>
          <cell r="F1910">
            <v>1913.69</v>
          </cell>
        </row>
        <row r="1911">
          <cell r="B1911">
            <v>3697326</v>
          </cell>
        </row>
        <row r="1911">
          <cell r="D1911">
            <v>0</v>
          </cell>
          <cell r="E1911" t="str">
            <v>风扇轮毂</v>
          </cell>
          <cell r="F1911">
            <v>1812.95</v>
          </cell>
        </row>
        <row r="1912">
          <cell r="B1912">
            <v>3697327</v>
          </cell>
        </row>
        <row r="1912">
          <cell r="D1912">
            <v>0</v>
          </cell>
          <cell r="E1912" t="str">
            <v>风扇轮毂</v>
          </cell>
          <cell r="F1912">
            <v>1704.97</v>
          </cell>
        </row>
        <row r="1913">
          <cell r="B1913">
            <v>5272335</v>
          </cell>
        </row>
        <row r="1913">
          <cell r="D1913" t="str">
            <v>ISF2.8/3.8</v>
          </cell>
          <cell r="E1913" t="str">
            <v>风扇轮毂</v>
          </cell>
          <cell r="F1913">
            <v>67.5342</v>
          </cell>
        </row>
        <row r="1914">
          <cell r="B1914">
            <v>3696343</v>
          </cell>
        </row>
        <row r="1914">
          <cell r="D1914">
            <v>0</v>
          </cell>
          <cell r="E1914" t="str">
            <v>风扇护风圈支架</v>
          </cell>
          <cell r="F1914">
            <v>145.3959</v>
          </cell>
        </row>
        <row r="1915">
          <cell r="B1915">
            <v>3696353</v>
          </cell>
        </row>
        <row r="1915">
          <cell r="D1915">
            <v>0</v>
          </cell>
          <cell r="E1915" t="str">
            <v>风扇护风圈支架</v>
          </cell>
          <cell r="F1915">
            <v>121.64</v>
          </cell>
        </row>
        <row r="1916">
          <cell r="B1916">
            <v>5613851</v>
          </cell>
        </row>
        <row r="1916">
          <cell r="D1916">
            <v>0</v>
          </cell>
          <cell r="E1916" t="str">
            <v>风扇护风圈支架</v>
          </cell>
          <cell r="F1916">
            <v>116.24</v>
          </cell>
        </row>
        <row r="1917">
          <cell r="B1917">
            <v>3697374</v>
          </cell>
        </row>
        <row r="1917">
          <cell r="D1917">
            <v>0</v>
          </cell>
          <cell r="E1917" t="str">
            <v>风扇护风圈支架</v>
          </cell>
          <cell r="F1917">
            <v>106.48</v>
          </cell>
        </row>
        <row r="1918">
          <cell r="B1918">
            <v>3697268</v>
          </cell>
        </row>
        <row r="1918">
          <cell r="D1918">
            <v>0</v>
          </cell>
          <cell r="E1918" t="str">
            <v>风扇护风圈支架</v>
          </cell>
          <cell r="F1918">
            <v>126.2097</v>
          </cell>
        </row>
        <row r="1919">
          <cell r="B1919">
            <v>3697271</v>
          </cell>
        </row>
        <row r="1919">
          <cell r="D1919">
            <v>0</v>
          </cell>
          <cell r="E1919" t="str">
            <v>风扇护风圈支架</v>
          </cell>
          <cell r="F1919">
            <v>111.3993</v>
          </cell>
        </row>
        <row r="1920">
          <cell r="B1920">
            <v>3697277</v>
          </cell>
        </row>
        <row r="1920">
          <cell r="D1920">
            <v>0</v>
          </cell>
          <cell r="E1920" t="str">
            <v>风扇护风圈支架</v>
          </cell>
          <cell r="F1920">
            <v>108.1404</v>
          </cell>
        </row>
        <row r="1921">
          <cell r="B1921">
            <v>3696347</v>
          </cell>
        </row>
        <row r="1921">
          <cell r="D1921">
            <v>0</v>
          </cell>
          <cell r="E1921" t="str">
            <v>风扇护风圈支架</v>
          </cell>
          <cell r="F1921">
            <v>99.4959</v>
          </cell>
        </row>
        <row r="1922">
          <cell r="B1922">
            <v>3696356</v>
          </cell>
        </row>
        <row r="1922">
          <cell r="D1922">
            <v>0</v>
          </cell>
          <cell r="E1922" t="str">
            <v>风扇护风圈支架</v>
          </cell>
          <cell r="F1922">
            <v>96.3441</v>
          </cell>
        </row>
        <row r="1923">
          <cell r="B1923">
            <v>5614215</v>
          </cell>
        </row>
        <row r="1923">
          <cell r="D1923">
            <v>0</v>
          </cell>
          <cell r="E1923" t="str">
            <v>风扇护风圈</v>
          </cell>
          <cell r="F1923">
            <v>438.91</v>
          </cell>
        </row>
        <row r="1924">
          <cell r="B1924">
            <v>5613985</v>
          </cell>
        </row>
        <row r="1924">
          <cell r="D1924">
            <v>0</v>
          </cell>
          <cell r="E1924" t="str">
            <v>风扇护风圈</v>
          </cell>
          <cell r="F1924">
            <v>437.1975</v>
          </cell>
        </row>
        <row r="1925">
          <cell r="B1925">
            <v>5341873</v>
          </cell>
        </row>
        <row r="1925">
          <cell r="D1925">
            <v>0</v>
          </cell>
          <cell r="E1925" t="str">
            <v>废气管</v>
          </cell>
          <cell r="F1925">
            <v>22</v>
          </cell>
        </row>
        <row r="1926">
          <cell r="B1926">
            <v>5663177</v>
          </cell>
        </row>
        <row r="1926">
          <cell r="D1926">
            <v>0</v>
          </cell>
          <cell r="E1926" t="str">
            <v>飞轮总成</v>
          </cell>
          <cell r="F1926">
            <v>1849.96</v>
          </cell>
        </row>
        <row r="1927">
          <cell r="B1927">
            <v>5528151</v>
          </cell>
        </row>
        <row r="1927">
          <cell r="D1927" t="str">
            <v>ISF2.8</v>
          </cell>
          <cell r="E1927" t="str">
            <v>飞轮壳盖板</v>
          </cell>
          <cell r="F1927">
            <v>201.88</v>
          </cell>
        </row>
        <row r="1928">
          <cell r="B1928">
            <v>5665617</v>
          </cell>
        </row>
        <row r="1928">
          <cell r="D1928">
            <v>0</v>
          </cell>
          <cell r="E1928" t="str">
            <v>飞轮壳盖板</v>
          </cell>
          <cell r="F1928">
            <v>155.79</v>
          </cell>
        </row>
        <row r="1929">
          <cell r="B1929">
            <v>5366122</v>
          </cell>
        </row>
        <row r="1929">
          <cell r="D1929">
            <v>0</v>
          </cell>
          <cell r="E1929" t="str">
            <v>飞轮壳盖板</v>
          </cell>
          <cell r="F1929">
            <v>9.97</v>
          </cell>
        </row>
        <row r="1930">
          <cell r="B1930">
            <v>5257403</v>
          </cell>
        </row>
        <row r="1930">
          <cell r="D1930">
            <v>0</v>
          </cell>
          <cell r="E1930" t="str">
            <v>飞轮壳(国四康瑞H3)</v>
          </cell>
          <cell r="F1930">
            <v>907.38</v>
          </cell>
        </row>
        <row r="1931">
          <cell r="B1931">
            <v>5269275</v>
          </cell>
          <cell r="C1931">
            <v>5254843</v>
          </cell>
          <cell r="D1931" t="str">
            <v>ISF3.8</v>
          </cell>
          <cell r="E1931" t="str">
            <v>飞轮壳(350/330)</v>
          </cell>
          <cell r="F1931">
            <v>782.07</v>
          </cell>
        </row>
        <row r="1932">
          <cell r="B1932">
            <v>3697694</v>
          </cell>
        </row>
        <row r="1932">
          <cell r="D1932">
            <v>0</v>
          </cell>
          <cell r="E1932" t="str">
            <v>飞轮壳</v>
          </cell>
          <cell r="F1932">
            <v>4167.7047</v>
          </cell>
        </row>
        <row r="1933">
          <cell r="B1933">
            <v>3698491</v>
          </cell>
        </row>
        <row r="1933">
          <cell r="D1933">
            <v>0</v>
          </cell>
          <cell r="E1933" t="str">
            <v>飞轮壳</v>
          </cell>
          <cell r="F1933">
            <v>1892.86</v>
          </cell>
        </row>
        <row r="1934">
          <cell r="B1934">
            <v>5558715</v>
          </cell>
        </row>
        <row r="1934">
          <cell r="D1934">
            <v>0</v>
          </cell>
          <cell r="E1934" t="str">
            <v>飞轮壳</v>
          </cell>
          <cell r="F1934">
            <v>1892.85</v>
          </cell>
        </row>
        <row r="1935">
          <cell r="B1935">
            <v>5709498</v>
          </cell>
        </row>
        <row r="1935">
          <cell r="D1935">
            <v>0</v>
          </cell>
          <cell r="E1935" t="str">
            <v>飞轮壳</v>
          </cell>
          <cell r="F1935">
            <v>1681.5</v>
          </cell>
        </row>
        <row r="1936">
          <cell r="B1936">
            <v>5273630</v>
          </cell>
        </row>
        <row r="1936">
          <cell r="D1936">
            <v>0</v>
          </cell>
          <cell r="E1936" t="str">
            <v>飞轮壳</v>
          </cell>
          <cell r="F1936">
            <v>1505.52</v>
          </cell>
        </row>
        <row r="1937">
          <cell r="B1937">
            <v>5709518</v>
          </cell>
        </row>
        <row r="1937">
          <cell r="D1937">
            <v>0</v>
          </cell>
          <cell r="E1937" t="str">
            <v>飞轮壳</v>
          </cell>
          <cell r="F1937">
            <v>1394.51</v>
          </cell>
        </row>
        <row r="1938">
          <cell r="B1938">
            <v>3697678</v>
          </cell>
        </row>
        <row r="1938">
          <cell r="D1938">
            <v>0</v>
          </cell>
          <cell r="E1938" t="str">
            <v>飞轮壳</v>
          </cell>
          <cell r="F1938">
            <v>1389.0411</v>
          </cell>
        </row>
        <row r="1939">
          <cell r="B1939">
            <v>5590223</v>
          </cell>
        </row>
        <row r="1939">
          <cell r="D1939">
            <v>0</v>
          </cell>
          <cell r="E1939" t="str">
            <v>飞轮壳</v>
          </cell>
          <cell r="F1939">
            <v>1028.3</v>
          </cell>
        </row>
        <row r="1940">
          <cell r="B1940">
            <v>5626025</v>
          </cell>
        </row>
        <row r="1940">
          <cell r="D1940">
            <v>0</v>
          </cell>
          <cell r="E1940" t="str">
            <v>飞轮壳</v>
          </cell>
          <cell r="F1940">
            <v>1023.6924</v>
          </cell>
        </row>
        <row r="1941">
          <cell r="B1941">
            <v>5626022</v>
          </cell>
        </row>
        <row r="1941">
          <cell r="D1941">
            <v>0</v>
          </cell>
          <cell r="E1941" t="str">
            <v>飞轮壳</v>
          </cell>
          <cell r="F1941">
            <v>919</v>
          </cell>
        </row>
        <row r="1942">
          <cell r="B1942">
            <v>5478487</v>
          </cell>
          <cell r="C1942" t="str">
            <v>5258850/5260766</v>
          </cell>
          <cell r="D1942" t="str">
            <v>ISF2.8</v>
          </cell>
          <cell r="E1942" t="str">
            <v>飞轮壳</v>
          </cell>
          <cell r="F1942">
            <v>929.5821</v>
          </cell>
        </row>
        <row r="1943">
          <cell r="B1943">
            <v>6472018</v>
          </cell>
          <cell r="C1943" t="str">
            <v>5620547/6378941</v>
          </cell>
          <cell r="D1943">
            <v>0</v>
          </cell>
          <cell r="E1943" t="str">
            <v>飞轮壳</v>
          </cell>
          <cell r="F1943">
            <v>916.1028</v>
          </cell>
        </row>
        <row r="1944">
          <cell r="B1944">
            <v>5527609</v>
          </cell>
        </row>
        <row r="1944">
          <cell r="D1944" t="str">
            <v>ISF2.8</v>
          </cell>
          <cell r="E1944" t="str">
            <v>飞轮壳</v>
          </cell>
          <cell r="F1944">
            <v>910.1664</v>
          </cell>
        </row>
        <row r="1945">
          <cell r="B1945">
            <v>5368718</v>
          </cell>
        </row>
        <row r="1945">
          <cell r="D1945">
            <v>0</v>
          </cell>
          <cell r="E1945" t="str">
            <v>飞轮壳</v>
          </cell>
          <cell r="F1945">
            <v>837.72</v>
          </cell>
        </row>
        <row r="1946">
          <cell r="B1946">
            <v>5364155</v>
          </cell>
        </row>
        <row r="1946">
          <cell r="D1946">
            <v>0</v>
          </cell>
          <cell r="E1946" t="str">
            <v>飞轮壳</v>
          </cell>
          <cell r="F1946">
            <v>638.18</v>
          </cell>
        </row>
        <row r="1947">
          <cell r="B1947">
            <v>5313375</v>
          </cell>
        </row>
        <row r="1947">
          <cell r="D1947">
            <v>0</v>
          </cell>
          <cell r="E1947" t="str">
            <v>飞轮壳</v>
          </cell>
          <cell r="F1947">
            <v>508.6791</v>
          </cell>
        </row>
        <row r="1948">
          <cell r="B1948">
            <v>5308076</v>
          </cell>
          <cell r="C1948">
            <v>5260765</v>
          </cell>
          <cell r="D1948" t="str">
            <v>ISF2.8</v>
          </cell>
          <cell r="E1948" t="str">
            <v>飞轮壳</v>
          </cell>
          <cell r="F1948">
            <v>506.0475</v>
          </cell>
        </row>
        <row r="1949">
          <cell r="B1949">
            <v>5614382</v>
          </cell>
        </row>
        <row r="1949">
          <cell r="D1949">
            <v>0</v>
          </cell>
          <cell r="E1949" t="str">
            <v>飞轮齿圈</v>
          </cell>
          <cell r="F1949">
            <v>202.6</v>
          </cell>
        </row>
        <row r="1950">
          <cell r="B1950">
            <v>3696160</v>
          </cell>
        </row>
        <row r="1950">
          <cell r="D1950">
            <v>0</v>
          </cell>
          <cell r="E1950" t="str">
            <v>飞轮齿圈</v>
          </cell>
          <cell r="F1950">
            <v>178.4439</v>
          </cell>
        </row>
        <row r="1951">
          <cell r="B1951">
            <v>3905427</v>
          </cell>
        </row>
        <row r="1951">
          <cell r="D1951" t="str">
            <v>ISF2.8/3.8</v>
          </cell>
          <cell r="E1951" t="str">
            <v>飞轮齿圈</v>
          </cell>
          <cell r="F1951">
            <v>132.516</v>
          </cell>
        </row>
        <row r="1952">
          <cell r="B1952">
            <v>3908546</v>
          </cell>
        </row>
        <row r="1952">
          <cell r="D1952">
            <v>0</v>
          </cell>
          <cell r="E1952" t="str">
            <v>飞轮齿圈</v>
          </cell>
          <cell r="F1952">
            <v>114.4899</v>
          </cell>
        </row>
        <row r="1953">
          <cell r="B1953">
            <v>4946759</v>
          </cell>
        </row>
        <row r="1953">
          <cell r="D1953">
            <v>0</v>
          </cell>
          <cell r="E1953" t="str">
            <v>飞轮齿圈</v>
          </cell>
          <cell r="F1953">
            <v>67.7484</v>
          </cell>
        </row>
        <row r="1954">
          <cell r="B1954">
            <v>5259641</v>
          </cell>
        </row>
        <row r="1954">
          <cell r="D1954">
            <v>0</v>
          </cell>
          <cell r="E1954" t="str">
            <v>飞轮(国四康瑞H3)</v>
          </cell>
          <cell r="F1954">
            <v>691.5753</v>
          </cell>
        </row>
        <row r="1955">
          <cell r="B1955">
            <v>4944495</v>
          </cell>
        </row>
        <row r="1955">
          <cell r="D1955" t="str">
            <v>ISF3.8</v>
          </cell>
          <cell r="E1955" t="str">
            <v>飞轮(国四康瑞H3)</v>
          </cell>
          <cell r="F1955">
            <v>644.2677</v>
          </cell>
        </row>
        <row r="1956">
          <cell r="B1956">
            <v>4939161</v>
          </cell>
        </row>
        <row r="1956">
          <cell r="D1956" t="str">
            <v>ISF3.8</v>
          </cell>
          <cell r="E1956" t="str">
            <v>飞轮(φ325/330)</v>
          </cell>
          <cell r="F1956">
            <v>533.25</v>
          </cell>
        </row>
        <row r="1957">
          <cell r="B1957">
            <v>3697772</v>
          </cell>
        </row>
        <row r="1957">
          <cell r="D1957">
            <v>0</v>
          </cell>
          <cell r="E1957" t="str">
            <v>飞轮</v>
          </cell>
          <cell r="F1957">
            <v>1635.08</v>
          </cell>
        </row>
        <row r="1958">
          <cell r="B1958">
            <v>3697773</v>
          </cell>
        </row>
        <row r="1958">
          <cell r="D1958">
            <v>0</v>
          </cell>
          <cell r="E1958" t="str">
            <v>飞轮</v>
          </cell>
          <cell r="F1958">
            <v>1635.08</v>
          </cell>
        </row>
        <row r="1959">
          <cell r="B1959">
            <v>3697771</v>
          </cell>
        </row>
        <row r="1959">
          <cell r="D1959">
            <v>0</v>
          </cell>
          <cell r="E1959" t="str">
            <v>飞轮</v>
          </cell>
          <cell r="F1959">
            <v>1373</v>
          </cell>
        </row>
        <row r="1960">
          <cell r="B1960">
            <v>3697745</v>
          </cell>
        </row>
        <row r="1960">
          <cell r="D1960">
            <v>0</v>
          </cell>
          <cell r="E1960" t="str">
            <v>飞轮</v>
          </cell>
          <cell r="F1960">
            <v>1158.17</v>
          </cell>
        </row>
        <row r="1961">
          <cell r="B1961">
            <v>3691898</v>
          </cell>
        </row>
        <row r="1961">
          <cell r="D1961">
            <v>0</v>
          </cell>
          <cell r="E1961" t="str">
            <v>飞轮</v>
          </cell>
          <cell r="F1961">
            <v>1104.96</v>
          </cell>
        </row>
        <row r="1962">
          <cell r="B1962">
            <v>5536690</v>
          </cell>
        </row>
        <row r="1962">
          <cell r="D1962">
            <v>0</v>
          </cell>
          <cell r="E1962" t="str">
            <v>飞轮</v>
          </cell>
          <cell r="F1962">
            <v>1269.1197</v>
          </cell>
        </row>
        <row r="1963">
          <cell r="B1963">
            <v>5614381</v>
          </cell>
        </row>
        <row r="1963">
          <cell r="D1963">
            <v>0</v>
          </cell>
          <cell r="E1963" t="str">
            <v>飞轮</v>
          </cell>
          <cell r="F1963">
            <v>1061.75</v>
          </cell>
        </row>
        <row r="1964">
          <cell r="B1964">
            <v>5680618</v>
          </cell>
        </row>
        <row r="1964">
          <cell r="D1964">
            <v>0</v>
          </cell>
          <cell r="E1964" t="str">
            <v>飞轮</v>
          </cell>
          <cell r="F1964">
            <v>875.45</v>
          </cell>
        </row>
        <row r="1965">
          <cell r="B1965">
            <v>5521638</v>
          </cell>
        </row>
        <row r="1965">
          <cell r="D1965">
            <v>0</v>
          </cell>
          <cell r="E1965" t="str">
            <v>飞轮</v>
          </cell>
          <cell r="F1965">
            <v>965.376</v>
          </cell>
        </row>
        <row r="1966">
          <cell r="B1966">
            <v>3698485</v>
          </cell>
        </row>
        <row r="1966">
          <cell r="D1966">
            <v>0</v>
          </cell>
          <cell r="E1966" t="str">
            <v>飞轮</v>
          </cell>
          <cell r="F1966">
            <v>966.45</v>
          </cell>
        </row>
        <row r="1967">
          <cell r="B1967">
            <v>5521630</v>
          </cell>
        </row>
        <row r="1967">
          <cell r="D1967">
            <v>0</v>
          </cell>
          <cell r="E1967" t="str">
            <v>飞轮</v>
          </cell>
          <cell r="F1967">
            <v>948.71</v>
          </cell>
        </row>
        <row r="1968">
          <cell r="B1968">
            <v>5620731</v>
          </cell>
        </row>
        <row r="1968">
          <cell r="D1968">
            <v>0</v>
          </cell>
          <cell r="E1968" t="str">
            <v>飞轮</v>
          </cell>
          <cell r="F1968">
            <v>915.35</v>
          </cell>
        </row>
        <row r="1969">
          <cell r="B1969">
            <v>3698424</v>
          </cell>
        </row>
        <row r="1969">
          <cell r="D1969">
            <v>0</v>
          </cell>
          <cell r="E1969" t="str">
            <v>飞轮</v>
          </cell>
          <cell r="F1969">
            <v>884.94</v>
          </cell>
        </row>
        <row r="1970">
          <cell r="B1970">
            <v>3696576</v>
          </cell>
        </row>
        <row r="1970">
          <cell r="D1970">
            <v>0</v>
          </cell>
          <cell r="E1970" t="str">
            <v>飞轮</v>
          </cell>
          <cell r="F1970">
            <v>869.24</v>
          </cell>
        </row>
        <row r="1971">
          <cell r="B1971">
            <v>3697999</v>
          </cell>
        </row>
        <row r="1971">
          <cell r="D1971">
            <v>0</v>
          </cell>
          <cell r="E1971" t="str">
            <v>飞轮</v>
          </cell>
          <cell r="F1971">
            <v>1034.3718</v>
          </cell>
        </row>
        <row r="1972">
          <cell r="B1972">
            <v>5274334</v>
          </cell>
          <cell r="C1972">
            <v>3966586</v>
          </cell>
          <cell r="D1972">
            <v>0</v>
          </cell>
          <cell r="E1972" t="str">
            <v>飞轮</v>
          </cell>
          <cell r="F1972">
            <v>674.24</v>
          </cell>
        </row>
        <row r="1973">
          <cell r="B1973">
            <v>5348559</v>
          </cell>
        </row>
        <row r="1973">
          <cell r="D1973" t="str">
            <v>ISF3.8</v>
          </cell>
          <cell r="E1973" t="str">
            <v>飞轮</v>
          </cell>
          <cell r="F1973">
            <v>674.24</v>
          </cell>
        </row>
        <row r="1974">
          <cell r="B1974">
            <v>5402599</v>
          </cell>
        </row>
        <row r="1974">
          <cell r="D1974" t="str">
            <v>ISF4.5</v>
          </cell>
          <cell r="E1974" t="str">
            <v>飞轮</v>
          </cell>
          <cell r="F1974">
            <v>684.522</v>
          </cell>
        </row>
        <row r="1975">
          <cell r="B1975">
            <v>5338237</v>
          </cell>
        </row>
        <row r="1975">
          <cell r="D1975" t="str">
            <v>ISF2.8</v>
          </cell>
          <cell r="E1975" t="str">
            <v>飞轮</v>
          </cell>
          <cell r="F1975">
            <v>654.2</v>
          </cell>
        </row>
        <row r="1976">
          <cell r="B1976">
            <v>5340843</v>
          </cell>
        </row>
        <row r="1976">
          <cell r="D1976">
            <v>0</v>
          </cell>
          <cell r="E1976" t="str">
            <v>飞轮</v>
          </cell>
          <cell r="F1976">
            <v>574.0254</v>
          </cell>
        </row>
        <row r="1977">
          <cell r="B1977">
            <v>5269358</v>
          </cell>
        </row>
        <row r="1977">
          <cell r="D1977" t="str">
            <v>ISF2.8</v>
          </cell>
          <cell r="E1977" t="str">
            <v>飞轮</v>
          </cell>
          <cell r="F1977">
            <v>537.95</v>
          </cell>
        </row>
        <row r="1978">
          <cell r="B1978">
            <v>5667133</v>
          </cell>
          <cell r="C1978">
            <v>5256310</v>
          </cell>
          <cell r="D1978" t="str">
            <v>ISF2.8</v>
          </cell>
          <cell r="E1978" t="str">
            <v>飞轮</v>
          </cell>
          <cell r="F1978">
            <v>516.41</v>
          </cell>
        </row>
        <row r="1979">
          <cell r="B1979">
            <v>5317203</v>
          </cell>
        </row>
        <row r="1979">
          <cell r="D1979" t="str">
            <v>ISG</v>
          </cell>
          <cell r="E1979" t="str">
            <v>飞轮</v>
          </cell>
          <cell r="F1979">
            <v>510.9282</v>
          </cell>
        </row>
        <row r="1980">
          <cell r="B1980">
            <v>5715032</v>
          </cell>
        </row>
        <row r="1980">
          <cell r="D1980">
            <v>0</v>
          </cell>
          <cell r="E1980" t="str">
            <v>飞轮</v>
          </cell>
          <cell r="F1980">
            <v>501.075</v>
          </cell>
        </row>
        <row r="1981">
          <cell r="B1981">
            <v>5361170</v>
          </cell>
        </row>
        <row r="1981">
          <cell r="D1981">
            <v>0</v>
          </cell>
          <cell r="E1981" t="str">
            <v>飞轮</v>
          </cell>
          <cell r="F1981">
            <v>476.0748</v>
          </cell>
        </row>
        <row r="1982">
          <cell r="B1982">
            <v>5253213</v>
          </cell>
        </row>
        <row r="1982">
          <cell r="D1982" t="str">
            <v>ISF2.8</v>
          </cell>
          <cell r="E1982" t="str">
            <v>飞轮</v>
          </cell>
          <cell r="F1982">
            <v>438.56</v>
          </cell>
        </row>
        <row r="1983">
          <cell r="B1983">
            <v>5575816</v>
          </cell>
        </row>
        <row r="1983">
          <cell r="D1983">
            <v>0</v>
          </cell>
          <cell r="E1983" t="str">
            <v>放油开关</v>
          </cell>
          <cell r="F1983">
            <v>106.18</v>
          </cell>
        </row>
        <row r="1984">
          <cell r="B1984">
            <v>3921533</v>
          </cell>
        </row>
        <row r="1984">
          <cell r="D1984">
            <v>0</v>
          </cell>
          <cell r="E1984" t="str">
            <v>防护罩</v>
          </cell>
          <cell r="F1984">
            <v>1.52</v>
          </cell>
        </row>
        <row r="1985">
          <cell r="B1985">
            <v>5575154</v>
          </cell>
        </row>
        <row r="1985">
          <cell r="D1985">
            <v>0</v>
          </cell>
          <cell r="E1985" t="str">
            <v>防护罩</v>
          </cell>
          <cell r="F1985">
            <v>2.28</v>
          </cell>
        </row>
        <row r="1986">
          <cell r="B1986">
            <v>5683828</v>
          </cell>
        </row>
        <row r="1986">
          <cell r="D1986">
            <v>0</v>
          </cell>
          <cell r="E1986" t="str">
            <v>防尘密封圈</v>
          </cell>
          <cell r="F1986">
            <v>45.48</v>
          </cell>
        </row>
        <row r="1987">
          <cell r="B1987">
            <v>3695997</v>
          </cell>
        </row>
        <row r="1987">
          <cell r="D1987">
            <v>0</v>
          </cell>
          <cell r="E1987" t="str">
            <v>发动机制动主活塞</v>
          </cell>
          <cell r="F1987">
            <v>23.0144</v>
          </cell>
        </row>
        <row r="1988">
          <cell r="B1988">
            <v>3694649</v>
          </cell>
        </row>
        <row r="1988">
          <cell r="D1988" t="str">
            <v>ISG</v>
          </cell>
          <cell r="E1988" t="str">
            <v>发动机制动电磁阀</v>
          </cell>
          <cell r="F1988">
            <v>317.4597</v>
          </cell>
        </row>
        <row r="1989">
          <cell r="B1989">
            <v>5290359</v>
          </cell>
          <cell r="C1989">
            <v>5255331</v>
          </cell>
          <cell r="D1989">
            <v>0</v>
          </cell>
          <cell r="E1989" t="str">
            <v>发动机预热器线束</v>
          </cell>
          <cell r="F1989">
            <v>144.1409</v>
          </cell>
        </row>
        <row r="1990">
          <cell r="B1990">
            <v>4946432</v>
          </cell>
        </row>
        <row r="1990">
          <cell r="D1990">
            <v>0</v>
          </cell>
          <cell r="E1990" t="str">
            <v>发动机预热器</v>
          </cell>
          <cell r="F1990">
            <v>234.0288</v>
          </cell>
        </row>
        <row r="1991">
          <cell r="B1991">
            <v>5290976</v>
          </cell>
        </row>
        <row r="1991">
          <cell r="D1991">
            <v>0</v>
          </cell>
          <cell r="E1991" t="str">
            <v>发动机预热器</v>
          </cell>
          <cell r="F1991">
            <v>124.8786</v>
          </cell>
        </row>
        <row r="1992">
          <cell r="B1992">
            <v>5262804</v>
          </cell>
        </row>
        <row r="1992">
          <cell r="D1992" t="str">
            <v>ISF2.8</v>
          </cell>
          <cell r="E1992" t="str">
            <v>发动机预热器</v>
          </cell>
          <cell r="F1992">
            <v>116.14</v>
          </cell>
        </row>
        <row r="1993">
          <cell r="B1993">
            <v>5710868</v>
          </cell>
        </row>
        <row r="1993">
          <cell r="D1993">
            <v>0</v>
          </cell>
          <cell r="E1993" t="str">
            <v>发动机线束总成</v>
          </cell>
          <cell r="F1993">
            <v>1187.24</v>
          </cell>
        </row>
        <row r="1994">
          <cell r="B1994">
            <v>5581929</v>
          </cell>
        </row>
        <row r="1994">
          <cell r="D1994">
            <v>0</v>
          </cell>
          <cell r="E1994" t="str">
            <v>发动机线束总成</v>
          </cell>
          <cell r="F1994">
            <v>1054.58</v>
          </cell>
        </row>
        <row r="1995">
          <cell r="B1995">
            <v>5575643</v>
          </cell>
        </row>
        <row r="1995">
          <cell r="D1995">
            <v>0</v>
          </cell>
          <cell r="E1995" t="str">
            <v>发动机线束总成</v>
          </cell>
          <cell r="F1995">
            <v>1023.85</v>
          </cell>
        </row>
        <row r="1996">
          <cell r="B1996">
            <v>5570687</v>
          </cell>
        </row>
        <row r="1996">
          <cell r="D1996">
            <v>0</v>
          </cell>
          <cell r="E1996" t="str">
            <v>发动机线束</v>
          </cell>
          <cell r="F1996">
            <v>837.75</v>
          </cell>
        </row>
        <row r="1997">
          <cell r="B1997">
            <v>5561636</v>
          </cell>
        </row>
        <row r="1997">
          <cell r="D1997">
            <v>0</v>
          </cell>
          <cell r="E1997" t="str">
            <v>发动机线束</v>
          </cell>
          <cell r="F1997">
            <v>837.75</v>
          </cell>
        </row>
        <row r="1998">
          <cell r="B1998">
            <v>5524375</v>
          </cell>
        </row>
        <row r="1998">
          <cell r="D1998">
            <v>0</v>
          </cell>
          <cell r="E1998" t="str">
            <v>发动机线束</v>
          </cell>
          <cell r="F1998">
            <v>837.75</v>
          </cell>
        </row>
        <row r="1999">
          <cell r="B1999">
            <v>5398750</v>
          </cell>
        </row>
        <row r="1999">
          <cell r="D1999">
            <v>0</v>
          </cell>
          <cell r="E1999" t="str">
            <v>发动机线束</v>
          </cell>
          <cell r="F1999">
            <v>790.99</v>
          </cell>
        </row>
        <row r="2000">
          <cell r="B2000">
            <v>5310688</v>
          </cell>
        </row>
        <row r="2000">
          <cell r="D2000">
            <v>0</v>
          </cell>
          <cell r="E2000" t="str">
            <v>发动机线束</v>
          </cell>
          <cell r="F2000">
            <v>866.1983</v>
          </cell>
        </row>
        <row r="2001">
          <cell r="B2001">
            <v>5613986</v>
          </cell>
        </row>
        <row r="2001">
          <cell r="D2001">
            <v>0</v>
          </cell>
          <cell r="E2001" t="str">
            <v>发动机冷却风扇护风圈</v>
          </cell>
          <cell r="F2001">
            <v>402.1605</v>
          </cell>
        </row>
        <row r="2002">
          <cell r="B2002">
            <v>3694066</v>
          </cell>
        </row>
        <row r="2002">
          <cell r="D2002" t="str">
            <v>ISG</v>
          </cell>
          <cell r="E2002" t="str">
            <v>发动机活塞</v>
          </cell>
          <cell r="F2002">
            <v>337.152</v>
          </cell>
        </row>
        <row r="2003">
          <cell r="B2003">
            <v>3694773</v>
          </cell>
        </row>
        <row r="2003">
          <cell r="D2003">
            <v>0</v>
          </cell>
          <cell r="E2003" t="str">
            <v>发动机吊耳</v>
          </cell>
          <cell r="F2003">
            <v>102.73</v>
          </cell>
        </row>
        <row r="2004">
          <cell r="B2004">
            <v>5662959</v>
          </cell>
        </row>
        <row r="2004">
          <cell r="D2004">
            <v>0</v>
          </cell>
          <cell r="E2004" t="str">
            <v>发动机吊耳</v>
          </cell>
          <cell r="F2004">
            <v>91.14</v>
          </cell>
        </row>
        <row r="2005">
          <cell r="B2005">
            <v>5620854</v>
          </cell>
        </row>
        <row r="2005">
          <cell r="D2005">
            <v>0</v>
          </cell>
          <cell r="E2005" t="str">
            <v>发动机吊耳</v>
          </cell>
          <cell r="F2005">
            <v>69.2</v>
          </cell>
        </row>
        <row r="2006">
          <cell r="B2006">
            <v>3695674</v>
          </cell>
        </row>
        <row r="2006">
          <cell r="D2006">
            <v>0</v>
          </cell>
          <cell r="E2006" t="str">
            <v>发动机吊耳</v>
          </cell>
          <cell r="F2006">
            <v>80.2332</v>
          </cell>
        </row>
        <row r="2007">
          <cell r="B2007">
            <v>5583222</v>
          </cell>
        </row>
        <row r="2007">
          <cell r="D2007">
            <v>0</v>
          </cell>
          <cell r="E2007" t="str">
            <v>发动机吊耳</v>
          </cell>
          <cell r="F2007">
            <v>49.54</v>
          </cell>
        </row>
        <row r="2008">
          <cell r="B2008">
            <v>3695721</v>
          </cell>
        </row>
        <row r="2008">
          <cell r="D2008">
            <v>0</v>
          </cell>
          <cell r="E2008" t="str">
            <v>发动机吊耳</v>
          </cell>
          <cell r="F2008">
            <v>57.2679</v>
          </cell>
        </row>
        <row r="2009">
          <cell r="B2009">
            <v>5585653</v>
          </cell>
        </row>
        <row r="2009">
          <cell r="D2009">
            <v>0</v>
          </cell>
          <cell r="E2009" t="str">
            <v>发动机吊耳</v>
          </cell>
          <cell r="F2009">
            <v>24.28</v>
          </cell>
        </row>
        <row r="2010">
          <cell r="B2010">
            <v>4982770</v>
          </cell>
        </row>
        <row r="2010">
          <cell r="D2010" t="str">
            <v>ISF3.8</v>
          </cell>
          <cell r="E2010" t="str">
            <v>发动机吊耳</v>
          </cell>
          <cell r="F2010">
            <v>22.14</v>
          </cell>
        </row>
        <row r="2011">
          <cell r="B2011">
            <v>5340121</v>
          </cell>
        </row>
        <row r="2011">
          <cell r="D2011">
            <v>0</v>
          </cell>
          <cell r="E2011" t="str">
            <v>发动机吊耳</v>
          </cell>
          <cell r="F2011">
            <v>19.764</v>
          </cell>
        </row>
        <row r="2012">
          <cell r="B2012">
            <v>5259643</v>
          </cell>
        </row>
        <row r="2012">
          <cell r="D2012" t="str">
            <v>ISF2.8</v>
          </cell>
          <cell r="E2012" t="str">
            <v>发动机吊耳</v>
          </cell>
          <cell r="F2012">
            <v>19.88</v>
          </cell>
        </row>
        <row r="2013">
          <cell r="B2013">
            <v>5308011</v>
          </cell>
        </row>
        <row r="2013">
          <cell r="D2013">
            <v>0</v>
          </cell>
          <cell r="E2013" t="str">
            <v>发动机吊耳</v>
          </cell>
          <cell r="F2013">
            <v>14.95</v>
          </cell>
        </row>
        <row r="2014">
          <cell r="B2014">
            <v>3698085</v>
          </cell>
        </row>
        <row r="2014">
          <cell r="D2014">
            <v>0</v>
          </cell>
          <cell r="E2014" t="str">
            <v>发电机支架</v>
          </cell>
          <cell r="F2014">
            <v>1855.31</v>
          </cell>
        </row>
        <row r="2015">
          <cell r="B2015">
            <v>5588901</v>
          </cell>
        </row>
        <row r="2015">
          <cell r="D2015">
            <v>0</v>
          </cell>
          <cell r="E2015" t="str">
            <v>发电机支架</v>
          </cell>
          <cell r="F2015">
            <v>565.09</v>
          </cell>
        </row>
        <row r="2016">
          <cell r="B2016">
            <v>5476756</v>
          </cell>
        </row>
        <row r="2016">
          <cell r="D2016">
            <v>0</v>
          </cell>
          <cell r="E2016" t="str">
            <v>发电机支架</v>
          </cell>
          <cell r="F2016">
            <v>347.8914</v>
          </cell>
        </row>
        <row r="2017">
          <cell r="B2017">
            <v>3697328</v>
          </cell>
        </row>
        <row r="2017">
          <cell r="D2017">
            <v>0</v>
          </cell>
          <cell r="E2017" t="str">
            <v>发电机支架</v>
          </cell>
          <cell r="F2017">
            <v>353.4147</v>
          </cell>
        </row>
        <row r="2018">
          <cell r="B2018">
            <v>3697329</v>
          </cell>
        </row>
        <row r="2018">
          <cell r="D2018">
            <v>0</v>
          </cell>
          <cell r="E2018" t="str">
            <v>发电机支架</v>
          </cell>
          <cell r="F2018">
            <v>261.79</v>
          </cell>
        </row>
        <row r="2019">
          <cell r="B2019">
            <v>5286734</v>
          </cell>
        </row>
        <row r="2019">
          <cell r="D2019">
            <v>0</v>
          </cell>
          <cell r="E2019" t="str">
            <v>发电机支架</v>
          </cell>
          <cell r="F2019">
            <v>244.67</v>
          </cell>
        </row>
        <row r="2020">
          <cell r="B2020">
            <v>5286735</v>
          </cell>
        </row>
        <row r="2020">
          <cell r="D2020">
            <v>0</v>
          </cell>
          <cell r="E2020" t="str">
            <v>发电机支架</v>
          </cell>
          <cell r="F2020">
            <v>242.78</v>
          </cell>
        </row>
        <row r="2021">
          <cell r="B2021">
            <v>5286733</v>
          </cell>
        </row>
        <row r="2021">
          <cell r="D2021" t="str">
            <v>ISF2.8</v>
          </cell>
          <cell r="E2021" t="str">
            <v>发电机支架</v>
          </cell>
          <cell r="F2021">
            <v>223.74</v>
          </cell>
        </row>
        <row r="2022">
          <cell r="B2022">
            <v>5265250</v>
          </cell>
        </row>
        <row r="2022">
          <cell r="D2022">
            <v>0</v>
          </cell>
          <cell r="E2022" t="str">
            <v>发电机支架</v>
          </cell>
          <cell r="F2022">
            <v>221.4369</v>
          </cell>
        </row>
        <row r="2023">
          <cell r="B2023">
            <v>3696370</v>
          </cell>
        </row>
        <row r="2023">
          <cell r="D2023">
            <v>0</v>
          </cell>
          <cell r="E2023" t="str">
            <v>发电机支架</v>
          </cell>
          <cell r="F2023">
            <v>236.385</v>
          </cell>
        </row>
        <row r="2024">
          <cell r="B2024">
            <v>5263833</v>
          </cell>
        </row>
        <row r="2024">
          <cell r="D2024">
            <v>0</v>
          </cell>
          <cell r="E2024" t="str">
            <v>发电机支架</v>
          </cell>
          <cell r="F2024">
            <v>158.8293</v>
          </cell>
        </row>
        <row r="2025">
          <cell r="B2025">
            <v>4980693</v>
          </cell>
        </row>
        <row r="2025">
          <cell r="D2025" t="str">
            <v>ISF3.8</v>
          </cell>
          <cell r="E2025" t="str">
            <v>发电机支架</v>
          </cell>
          <cell r="F2025">
            <v>136.7973</v>
          </cell>
        </row>
        <row r="2026">
          <cell r="B2026">
            <v>3697716</v>
          </cell>
        </row>
        <row r="2026">
          <cell r="D2026">
            <v>0</v>
          </cell>
          <cell r="E2026" t="str">
            <v>发电机支架</v>
          </cell>
          <cell r="F2026">
            <v>64</v>
          </cell>
        </row>
        <row r="2027">
          <cell r="B2027">
            <v>3698055</v>
          </cell>
        </row>
        <row r="2027">
          <cell r="D2027">
            <v>0</v>
          </cell>
          <cell r="E2027" t="str">
            <v>发电机支架</v>
          </cell>
          <cell r="F2027">
            <v>51.06</v>
          </cell>
        </row>
        <row r="2028">
          <cell r="B2028">
            <v>5448482</v>
          </cell>
        </row>
        <row r="2028">
          <cell r="D2028">
            <v>0</v>
          </cell>
          <cell r="E2028" t="str">
            <v>发电机支架</v>
          </cell>
          <cell r="F2028">
            <v>33</v>
          </cell>
        </row>
        <row r="2029">
          <cell r="B2029">
            <v>3698006</v>
          </cell>
        </row>
        <row r="2029">
          <cell r="D2029">
            <v>0</v>
          </cell>
          <cell r="E2029" t="str">
            <v>发电机支架</v>
          </cell>
          <cell r="F2029">
            <v>6.7</v>
          </cell>
        </row>
        <row r="2030">
          <cell r="B2030">
            <v>3349539</v>
          </cell>
        </row>
        <row r="2030">
          <cell r="D2030">
            <v>0</v>
          </cell>
          <cell r="E2030" t="str">
            <v>发电机皮带轮</v>
          </cell>
          <cell r="F2030">
            <v>34.92</v>
          </cell>
        </row>
        <row r="2031">
          <cell r="B2031">
            <v>3697253</v>
          </cell>
        </row>
        <row r="2031">
          <cell r="D2031">
            <v>0</v>
          </cell>
          <cell r="E2031" t="str">
            <v>发电机皮带</v>
          </cell>
          <cell r="F2031">
            <v>133.82</v>
          </cell>
        </row>
        <row r="2032">
          <cell r="B2032">
            <v>3697256</v>
          </cell>
        </row>
        <row r="2032">
          <cell r="D2032">
            <v>0</v>
          </cell>
          <cell r="E2032" t="str">
            <v>发电机皮带</v>
          </cell>
          <cell r="F2032">
            <v>123.75</v>
          </cell>
        </row>
        <row r="2033">
          <cell r="B2033">
            <v>3697254</v>
          </cell>
        </row>
        <row r="2033">
          <cell r="D2033">
            <v>0</v>
          </cell>
          <cell r="E2033" t="str">
            <v>发电机皮带</v>
          </cell>
          <cell r="F2033">
            <v>119.78</v>
          </cell>
        </row>
        <row r="2034">
          <cell r="B2034">
            <v>3697251</v>
          </cell>
        </row>
        <row r="2034">
          <cell r="D2034">
            <v>0</v>
          </cell>
          <cell r="E2034" t="str">
            <v>发电机皮带</v>
          </cell>
          <cell r="F2034">
            <v>117.12</v>
          </cell>
        </row>
        <row r="2035">
          <cell r="B2035">
            <v>3695465</v>
          </cell>
        </row>
        <row r="2035">
          <cell r="D2035">
            <v>0</v>
          </cell>
          <cell r="E2035" t="str">
            <v>发电机皮带</v>
          </cell>
          <cell r="F2035">
            <v>72.24</v>
          </cell>
        </row>
        <row r="2036">
          <cell r="B2036">
            <v>3696704</v>
          </cell>
        </row>
        <row r="2036">
          <cell r="D2036">
            <v>0</v>
          </cell>
          <cell r="E2036" t="str">
            <v>发电机皮带</v>
          </cell>
          <cell r="F2036">
            <v>61.91</v>
          </cell>
        </row>
        <row r="2037">
          <cell r="B2037">
            <v>3696702</v>
          </cell>
        </row>
        <row r="2037">
          <cell r="D2037">
            <v>0</v>
          </cell>
          <cell r="E2037" t="str">
            <v>发电机皮带</v>
          </cell>
          <cell r="F2037">
            <v>58.57</v>
          </cell>
        </row>
        <row r="2038">
          <cell r="B2038">
            <v>5575842</v>
          </cell>
        </row>
        <row r="2038">
          <cell r="D2038">
            <v>0</v>
          </cell>
          <cell r="E2038" t="str">
            <v>发电机皮带</v>
          </cell>
          <cell r="F2038">
            <v>58.27</v>
          </cell>
        </row>
        <row r="2039">
          <cell r="B2039">
            <v>3696797</v>
          </cell>
        </row>
        <row r="2039">
          <cell r="D2039">
            <v>0</v>
          </cell>
          <cell r="E2039" t="str">
            <v>发电机皮带</v>
          </cell>
          <cell r="F2039">
            <v>58.14</v>
          </cell>
        </row>
        <row r="2040">
          <cell r="B2040">
            <v>3696795</v>
          </cell>
        </row>
        <row r="2040">
          <cell r="D2040">
            <v>0</v>
          </cell>
          <cell r="E2040" t="str">
            <v>发电机皮带</v>
          </cell>
          <cell r="F2040">
            <v>55.67</v>
          </cell>
        </row>
        <row r="2041">
          <cell r="B2041">
            <v>3697443</v>
          </cell>
        </row>
        <row r="2041">
          <cell r="D2041">
            <v>0</v>
          </cell>
          <cell r="E2041" t="str">
            <v>发电机皮带</v>
          </cell>
          <cell r="F2041">
            <v>55.23</v>
          </cell>
        </row>
        <row r="2042">
          <cell r="B2042">
            <v>3697441</v>
          </cell>
        </row>
        <row r="2042">
          <cell r="D2042">
            <v>0</v>
          </cell>
          <cell r="E2042" t="str">
            <v>发电机皮带</v>
          </cell>
          <cell r="F2042">
            <v>53.94</v>
          </cell>
        </row>
        <row r="2043">
          <cell r="B2043">
            <v>3697446</v>
          </cell>
        </row>
        <row r="2043">
          <cell r="D2043">
            <v>0</v>
          </cell>
          <cell r="E2043" t="str">
            <v>发电机皮带</v>
          </cell>
          <cell r="F2043">
            <v>53.31</v>
          </cell>
        </row>
        <row r="2044">
          <cell r="B2044">
            <v>3696660</v>
          </cell>
        </row>
        <row r="2044">
          <cell r="D2044">
            <v>0</v>
          </cell>
          <cell r="E2044" t="str">
            <v>发电机皮带</v>
          </cell>
          <cell r="F2044">
            <v>50.02</v>
          </cell>
        </row>
        <row r="2045">
          <cell r="B2045">
            <v>3696539</v>
          </cell>
        </row>
        <row r="2045">
          <cell r="D2045">
            <v>0</v>
          </cell>
          <cell r="E2045" t="str">
            <v>发电机皮带</v>
          </cell>
          <cell r="F2045">
            <v>33.97</v>
          </cell>
        </row>
        <row r="2046">
          <cell r="B2046">
            <v>3695464</v>
          </cell>
        </row>
        <row r="2046">
          <cell r="D2046">
            <v>0</v>
          </cell>
          <cell r="E2046" t="str">
            <v>发电机皮带</v>
          </cell>
          <cell r="F2046">
            <v>33.45</v>
          </cell>
        </row>
        <row r="2047">
          <cell r="B2047">
            <v>3694083</v>
          </cell>
        </row>
        <row r="2047">
          <cell r="D2047" t="str">
            <v>ISG</v>
          </cell>
          <cell r="E2047" t="str">
            <v>发电机皮带</v>
          </cell>
          <cell r="F2047">
            <v>32.68</v>
          </cell>
        </row>
        <row r="2048">
          <cell r="B2048">
            <v>3694080</v>
          </cell>
        </row>
        <row r="2048">
          <cell r="D2048" t="str">
            <v>ISG</v>
          </cell>
          <cell r="E2048" t="str">
            <v>发电机皮带</v>
          </cell>
          <cell r="F2048">
            <v>31.26</v>
          </cell>
        </row>
        <row r="2049">
          <cell r="B2049">
            <v>3696367</v>
          </cell>
        </row>
        <row r="2049">
          <cell r="D2049">
            <v>0</v>
          </cell>
          <cell r="E2049" t="str">
            <v>发电机皮带</v>
          </cell>
          <cell r="F2049">
            <v>27.56</v>
          </cell>
        </row>
        <row r="2050">
          <cell r="B2050">
            <v>5318120</v>
          </cell>
          <cell r="C2050">
            <v>5266781</v>
          </cell>
          <cell r="D2050" t="str">
            <v>ISF2.8</v>
          </cell>
          <cell r="E2050" t="str">
            <v>发电机(国四康瑞H2)</v>
          </cell>
          <cell r="F2050">
            <v>625.18</v>
          </cell>
        </row>
        <row r="2051">
          <cell r="B2051">
            <v>5263830</v>
          </cell>
        </row>
        <row r="2051">
          <cell r="D2051">
            <v>0</v>
          </cell>
          <cell r="E2051" t="str">
            <v>发电机</v>
          </cell>
          <cell r="F2051">
            <v>2073.222</v>
          </cell>
        </row>
        <row r="2052">
          <cell r="B2052">
            <v>5560069</v>
          </cell>
        </row>
        <row r="2052">
          <cell r="D2052">
            <v>0</v>
          </cell>
          <cell r="E2052" t="str">
            <v>发电机</v>
          </cell>
          <cell r="F2052">
            <v>1084.36</v>
          </cell>
        </row>
        <row r="2053">
          <cell r="B2053">
            <v>5320720</v>
          </cell>
        </row>
        <row r="2053">
          <cell r="D2053">
            <v>0</v>
          </cell>
          <cell r="E2053" t="str">
            <v>发电机</v>
          </cell>
          <cell r="F2053">
            <v>1064.92</v>
          </cell>
        </row>
        <row r="2054">
          <cell r="B2054">
            <v>5346824</v>
          </cell>
        </row>
        <row r="2054">
          <cell r="D2054">
            <v>0</v>
          </cell>
          <cell r="E2054" t="str">
            <v>发电机</v>
          </cell>
          <cell r="F2054">
            <v>991.45</v>
          </cell>
        </row>
        <row r="2055">
          <cell r="B2055">
            <v>3698351</v>
          </cell>
        </row>
        <row r="2055">
          <cell r="D2055" t="str">
            <v>ISG</v>
          </cell>
          <cell r="E2055" t="str">
            <v>发电机</v>
          </cell>
          <cell r="F2055">
            <v>1134.1431</v>
          </cell>
        </row>
        <row r="2056">
          <cell r="B2056">
            <v>5272634</v>
          </cell>
        </row>
        <row r="2056">
          <cell r="D2056" t="str">
            <v>ISF3.8</v>
          </cell>
          <cell r="E2056" t="str">
            <v>发电机</v>
          </cell>
          <cell r="F2056">
            <v>925.36</v>
          </cell>
        </row>
        <row r="2057">
          <cell r="B2057">
            <v>5523027</v>
          </cell>
        </row>
        <row r="2057">
          <cell r="D2057">
            <v>0</v>
          </cell>
          <cell r="E2057" t="str">
            <v>发电机</v>
          </cell>
          <cell r="F2057">
            <v>788.7609</v>
          </cell>
        </row>
        <row r="2058">
          <cell r="B2058">
            <v>5442017</v>
          </cell>
        </row>
        <row r="2058">
          <cell r="D2058">
            <v>0</v>
          </cell>
          <cell r="E2058" t="str">
            <v>发电机</v>
          </cell>
          <cell r="F2058">
            <v>769.896</v>
          </cell>
        </row>
        <row r="2059">
          <cell r="B2059">
            <v>5318122</v>
          </cell>
        </row>
        <row r="2059">
          <cell r="D2059">
            <v>0</v>
          </cell>
          <cell r="E2059" t="str">
            <v>发电机</v>
          </cell>
          <cell r="F2059">
            <v>713.44</v>
          </cell>
        </row>
        <row r="2060">
          <cell r="B2060">
            <v>3696212</v>
          </cell>
        </row>
        <row r="2060">
          <cell r="D2060">
            <v>0</v>
          </cell>
          <cell r="E2060" t="str">
            <v>发电机</v>
          </cell>
          <cell r="F2060">
            <v>801.0009</v>
          </cell>
        </row>
        <row r="2061">
          <cell r="B2061">
            <v>5318117</v>
          </cell>
        </row>
        <row r="2061">
          <cell r="D2061" t="str">
            <v>ISF3.8</v>
          </cell>
          <cell r="E2061" t="str">
            <v>发电机</v>
          </cell>
          <cell r="F2061">
            <v>664.64</v>
          </cell>
        </row>
        <row r="2062">
          <cell r="B2062">
            <v>5318121</v>
          </cell>
        </row>
        <row r="2062">
          <cell r="D2062">
            <v>0</v>
          </cell>
          <cell r="E2062" t="str">
            <v>发电机</v>
          </cell>
          <cell r="F2062">
            <v>621.48</v>
          </cell>
        </row>
        <row r="2063">
          <cell r="B2063">
            <v>3694720</v>
          </cell>
        </row>
        <row r="2063">
          <cell r="D2063">
            <v>0</v>
          </cell>
          <cell r="E2063" t="str">
            <v>惰轮轴</v>
          </cell>
          <cell r="F2063">
            <v>185.2677</v>
          </cell>
        </row>
        <row r="2064">
          <cell r="B2064">
            <v>3697665</v>
          </cell>
        </row>
        <row r="2064">
          <cell r="D2064">
            <v>0</v>
          </cell>
          <cell r="E2064" t="str">
            <v>惰轮轴</v>
          </cell>
          <cell r="F2064">
            <v>133.35</v>
          </cell>
        </row>
        <row r="2065">
          <cell r="B2065">
            <v>3697662</v>
          </cell>
        </row>
        <row r="2065">
          <cell r="D2065">
            <v>0</v>
          </cell>
          <cell r="E2065" t="str">
            <v>惰轮轴</v>
          </cell>
          <cell r="F2065">
            <v>154.3923</v>
          </cell>
        </row>
        <row r="2066">
          <cell r="B2066">
            <v>3697664</v>
          </cell>
        </row>
        <row r="2066">
          <cell r="D2066">
            <v>0</v>
          </cell>
          <cell r="E2066" t="str">
            <v>惰轮轴</v>
          </cell>
          <cell r="F2066">
            <v>127.51</v>
          </cell>
        </row>
        <row r="2067">
          <cell r="B2067">
            <v>3697663</v>
          </cell>
        </row>
        <row r="2067">
          <cell r="D2067">
            <v>0</v>
          </cell>
          <cell r="E2067" t="str">
            <v>惰轮轴</v>
          </cell>
          <cell r="F2067">
            <v>142.596</v>
          </cell>
        </row>
        <row r="2068">
          <cell r="B2068">
            <v>5404057</v>
          </cell>
        </row>
        <row r="2068">
          <cell r="D2068">
            <v>0</v>
          </cell>
          <cell r="E2068" t="str">
            <v>惰轮轴</v>
          </cell>
          <cell r="F2068">
            <v>34.9</v>
          </cell>
        </row>
        <row r="2069">
          <cell r="B2069">
            <v>3935229</v>
          </cell>
        </row>
        <row r="2069">
          <cell r="D2069">
            <v>0</v>
          </cell>
          <cell r="E2069" t="str">
            <v>惰轮轴</v>
          </cell>
          <cell r="F2069">
            <v>33.642</v>
          </cell>
        </row>
        <row r="2070">
          <cell r="B2070">
            <v>5269736</v>
          </cell>
        </row>
        <row r="2070">
          <cell r="D2070">
            <v>0</v>
          </cell>
          <cell r="E2070" t="str">
            <v>惰轮支架</v>
          </cell>
          <cell r="F2070">
            <v>41.8455</v>
          </cell>
        </row>
        <row r="2071">
          <cell r="B2071">
            <v>3697978</v>
          </cell>
        </row>
        <row r="2071">
          <cell r="D2071">
            <v>0</v>
          </cell>
          <cell r="E2071" t="str">
            <v>惰轮齿轮</v>
          </cell>
          <cell r="F2071">
            <v>809.3394</v>
          </cell>
        </row>
        <row r="2072">
          <cell r="B2072">
            <v>3697980</v>
          </cell>
        </row>
        <row r="2072">
          <cell r="D2072">
            <v>0</v>
          </cell>
          <cell r="E2072" t="str">
            <v>惰轮齿轮</v>
          </cell>
          <cell r="F2072">
            <v>524.56</v>
          </cell>
        </row>
        <row r="2073">
          <cell r="B2073">
            <v>3698373</v>
          </cell>
        </row>
        <row r="2073">
          <cell r="D2073">
            <v>0</v>
          </cell>
          <cell r="E2073" t="str">
            <v>惰轮</v>
          </cell>
          <cell r="F2073">
            <v>130.51</v>
          </cell>
        </row>
        <row r="2074">
          <cell r="B2074">
            <v>5265369</v>
          </cell>
        </row>
        <row r="2074">
          <cell r="D2074" t="str">
            <v>ISF3.8</v>
          </cell>
          <cell r="E2074" t="str">
            <v>惰轮</v>
          </cell>
          <cell r="F2074">
            <v>120.726</v>
          </cell>
        </row>
        <row r="2075">
          <cell r="B2075">
            <v>5342289</v>
          </cell>
        </row>
        <row r="2075">
          <cell r="D2075">
            <v>0</v>
          </cell>
          <cell r="E2075" t="str">
            <v>惰轮</v>
          </cell>
          <cell r="F2075">
            <v>123.6393</v>
          </cell>
        </row>
        <row r="2076">
          <cell r="B2076">
            <v>5285739</v>
          </cell>
        </row>
        <row r="2076">
          <cell r="D2076" t="str">
            <v>ISF2.8</v>
          </cell>
          <cell r="E2076" t="str">
            <v>惰轮</v>
          </cell>
          <cell r="F2076">
            <v>124.3125</v>
          </cell>
        </row>
        <row r="2077">
          <cell r="B2077">
            <v>5582209</v>
          </cell>
        </row>
        <row r="2077">
          <cell r="D2077">
            <v>0</v>
          </cell>
          <cell r="E2077" t="str">
            <v>惰轮</v>
          </cell>
          <cell r="F2077">
            <v>116.29</v>
          </cell>
        </row>
        <row r="2078">
          <cell r="B2078">
            <v>5446324</v>
          </cell>
        </row>
        <row r="2078">
          <cell r="D2078">
            <v>0</v>
          </cell>
          <cell r="E2078" t="str">
            <v>惰轮</v>
          </cell>
          <cell r="F2078">
            <v>98.9451</v>
          </cell>
        </row>
        <row r="2079">
          <cell r="B2079">
            <v>5254599</v>
          </cell>
        </row>
        <row r="2079">
          <cell r="D2079" t="str">
            <v>ISF2.8/3.8</v>
          </cell>
          <cell r="E2079" t="str">
            <v>惰轮</v>
          </cell>
          <cell r="F2079">
            <v>93.438</v>
          </cell>
        </row>
        <row r="2080">
          <cell r="B2080">
            <v>5309066</v>
          </cell>
          <cell r="C2080">
            <v>5254598</v>
          </cell>
          <cell r="D2080" t="str">
            <v>ISF2.8</v>
          </cell>
          <cell r="E2080" t="str">
            <v>惰轮</v>
          </cell>
          <cell r="F2080">
            <v>82.188</v>
          </cell>
        </row>
        <row r="2081">
          <cell r="B2081">
            <v>3696103</v>
          </cell>
        </row>
        <row r="2081">
          <cell r="D2081">
            <v>0</v>
          </cell>
          <cell r="E2081" t="str">
            <v>惰轮</v>
          </cell>
          <cell r="F2081">
            <v>89.36</v>
          </cell>
        </row>
        <row r="2082">
          <cell r="B2082">
            <v>3694722</v>
          </cell>
        </row>
        <row r="2082">
          <cell r="D2082">
            <v>0</v>
          </cell>
          <cell r="E2082" t="str">
            <v>惰齿轮</v>
          </cell>
          <cell r="F2082">
            <v>819.6975</v>
          </cell>
        </row>
        <row r="2083">
          <cell r="B2083">
            <v>3696463</v>
          </cell>
        </row>
        <row r="2083">
          <cell r="D2083">
            <v>0</v>
          </cell>
          <cell r="E2083" t="str">
            <v>惰齿轮</v>
          </cell>
          <cell r="F2083">
            <v>717.2181</v>
          </cell>
        </row>
        <row r="2084">
          <cell r="B2084">
            <v>3696464</v>
          </cell>
        </row>
        <row r="2084">
          <cell r="D2084">
            <v>0</v>
          </cell>
          <cell r="E2084" t="str">
            <v>惰齿轮</v>
          </cell>
          <cell r="F2084">
            <v>421.0866</v>
          </cell>
        </row>
        <row r="2085">
          <cell r="B2085">
            <v>5272961</v>
          </cell>
          <cell r="C2085">
            <v>5262659</v>
          </cell>
          <cell r="D2085" t="str">
            <v>ISF2.8</v>
          </cell>
          <cell r="E2085" t="str">
            <v>惰齿轮</v>
          </cell>
          <cell r="F2085">
            <v>192.21</v>
          </cell>
        </row>
        <row r="2086">
          <cell r="B2086">
            <v>5623466</v>
          </cell>
        </row>
        <row r="2086">
          <cell r="D2086">
            <v>0</v>
          </cell>
          <cell r="E2086" t="str">
            <v>V型多楔带</v>
          </cell>
          <cell r="F2086">
            <v>94.64</v>
          </cell>
        </row>
        <row r="2087">
          <cell r="B2087">
            <v>5313910</v>
          </cell>
          <cell r="C2087">
            <v>5256953</v>
          </cell>
          <cell r="D2087" t="str">
            <v>ISF2.8</v>
          </cell>
          <cell r="E2087" t="str">
            <v>动力转向泵皮带轮</v>
          </cell>
          <cell r="F2087">
            <v>44.118</v>
          </cell>
        </row>
        <row r="2088">
          <cell r="B2088">
            <v>5417181</v>
          </cell>
        </row>
        <row r="2088">
          <cell r="D2088">
            <v>0</v>
          </cell>
          <cell r="E2088" t="str">
            <v>动力转向泵连接法兰</v>
          </cell>
          <cell r="F2088">
            <v>1133.73</v>
          </cell>
        </row>
        <row r="2089">
          <cell r="B2089">
            <v>3698408</v>
          </cell>
        </row>
        <row r="2089">
          <cell r="D2089">
            <v>0</v>
          </cell>
          <cell r="E2089" t="str">
            <v>动力转向泵连接法兰</v>
          </cell>
          <cell r="F2089">
            <v>1096.67</v>
          </cell>
        </row>
        <row r="2090">
          <cell r="B2090">
            <v>3698410</v>
          </cell>
        </row>
        <row r="2090">
          <cell r="D2090">
            <v>0</v>
          </cell>
          <cell r="E2090" t="str">
            <v>动力转向泵连接法兰</v>
          </cell>
          <cell r="F2090">
            <v>1079.74</v>
          </cell>
        </row>
        <row r="2091">
          <cell r="B2091">
            <v>5298480</v>
          </cell>
        </row>
        <row r="2091">
          <cell r="D2091">
            <v>0</v>
          </cell>
          <cell r="E2091" t="str">
            <v>动力转向泵连接法兰</v>
          </cell>
          <cell r="F2091">
            <v>585.684</v>
          </cell>
        </row>
        <row r="2092">
          <cell r="B2092">
            <v>5310689</v>
          </cell>
        </row>
        <row r="2092">
          <cell r="D2092">
            <v>0</v>
          </cell>
          <cell r="E2092" t="str">
            <v>动力转向泵</v>
          </cell>
          <cell r="F2092">
            <v>627.1164</v>
          </cell>
        </row>
        <row r="2093">
          <cell r="B2093">
            <v>5308919</v>
          </cell>
        </row>
        <row r="2093">
          <cell r="D2093">
            <v>0</v>
          </cell>
          <cell r="E2093" t="str">
            <v>动力转向泵</v>
          </cell>
          <cell r="F2093">
            <v>585.03</v>
          </cell>
        </row>
        <row r="2094">
          <cell r="B2094">
            <v>5270739</v>
          </cell>
        </row>
        <row r="2094">
          <cell r="D2094" t="str">
            <v>ISF2.8</v>
          </cell>
          <cell r="E2094" t="str">
            <v>动力转向泵</v>
          </cell>
          <cell r="F2094">
            <v>577.0242</v>
          </cell>
        </row>
        <row r="2095">
          <cell r="B2095">
            <v>5286672</v>
          </cell>
        </row>
        <row r="2095">
          <cell r="D2095" t="str">
            <v>ISF2.8/3.8</v>
          </cell>
          <cell r="E2095" t="str">
            <v>动力转向泵</v>
          </cell>
          <cell r="F2095">
            <v>559.8117</v>
          </cell>
        </row>
        <row r="2096">
          <cell r="B2096">
            <v>3904483</v>
          </cell>
        </row>
        <row r="2096">
          <cell r="D2096" t="str">
            <v>ISF2.8/3.8</v>
          </cell>
          <cell r="E2096" t="str">
            <v>定位销</v>
          </cell>
          <cell r="F2096">
            <v>3.17</v>
          </cell>
        </row>
        <row r="2097">
          <cell r="B2097">
            <v>3900720</v>
          </cell>
        </row>
        <row r="2097">
          <cell r="D2097" t="str">
            <v>ISF2.8</v>
          </cell>
          <cell r="E2097" t="str">
            <v>定位环</v>
          </cell>
          <cell r="F2097">
            <v>9.89</v>
          </cell>
        </row>
        <row r="2098">
          <cell r="B2098">
            <v>3695725</v>
          </cell>
        </row>
        <row r="2098">
          <cell r="D2098">
            <v>0</v>
          </cell>
          <cell r="E2098" t="str">
            <v>定位环</v>
          </cell>
          <cell r="F2098">
            <v>9.57</v>
          </cell>
        </row>
        <row r="2099">
          <cell r="B2099">
            <v>3696344</v>
          </cell>
        </row>
        <row r="2099">
          <cell r="D2099">
            <v>0</v>
          </cell>
          <cell r="E2099" t="str">
            <v>定位环</v>
          </cell>
          <cell r="F2099">
            <v>12.46</v>
          </cell>
        </row>
        <row r="2100">
          <cell r="B2100">
            <v>3697846</v>
          </cell>
          <cell r="C2100">
            <v>3696807</v>
          </cell>
          <cell r="D2100" t="str">
            <v>ISG</v>
          </cell>
          <cell r="E2100" t="str">
            <v>定位环</v>
          </cell>
          <cell r="F2100">
            <v>6.18</v>
          </cell>
        </row>
        <row r="2101">
          <cell r="B2101">
            <v>5284978</v>
          </cell>
          <cell r="C2101">
            <v>5253886</v>
          </cell>
          <cell r="D2101" t="str">
            <v>ISF2.8</v>
          </cell>
          <cell r="E2101" t="str">
            <v>定位环</v>
          </cell>
          <cell r="F2101">
            <v>3.41</v>
          </cell>
        </row>
        <row r="2102">
          <cell r="B2102">
            <v>5284977</v>
          </cell>
        </row>
        <row r="2102">
          <cell r="D2102" t="str">
            <v>ISF2.8</v>
          </cell>
          <cell r="E2102" t="str">
            <v>定位环</v>
          </cell>
          <cell r="F2102">
            <v>3.41</v>
          </cell>
        </row>
        <row r="2103">
          <cell r="B2103">
            <v>5284980</v>
          </cell>
        </row>
        <row r="2103">
          <cell r="D2103" t="str">
            <v>ISF3.8</v>
          </cell>
          <cell r="E2103" t="str">
            <v>定位环</v>
          </cell>
          <cell r="F2103">
            <v>3.41</v>
          </cell>
        </row>
        <row r="2104">
          <cell r="B2104">
            <v>5284979</v>
          </cell>
        </row>
        <row r="2104">
          <cell r="D2104" t="str">
            <v>ISF2.8/3.8</v>
          </cell>
          <cell r="E2104" t="str">
            <v>定位环</v>
          </cell>
          <cell r="F2104">
            <v>2.96</v>
          </cell>
        </row>
        <row r="2105">
          <cell r="B2105">
            <v>3949326</v>
          </cell>
        </row>
        <row r="2105">
          <cell r="D2105" t="str">
            <v>ISG</v>
          </cell>
          <cell r="E2105" t="str">
            <v>定位环</v>
          </cell>
          <cell r="F2105">
            <v>2.06</v>
          </cell>
        </row>
        <row r="2106">
          <cell r="B2106">
            <v>3693182</v>
          </cell>
        </row>
        <row r="2106">
          <cell r="D2106">
            <v>0</v>
          </cell>
          <cell r="E2106" t="str">
            <v>蝶阀执行机构</v>
          </cell>
          <cell r="F2106">
            <v>978.7716</v>
          </cell>
        </row>
        <row r="2107">
          <cell r="B2107">
            <v>3918187</v>
          </cell>
        </row>
        <row r="2107">
          <cell r="D2107">
            <v>0</v>
          </cell>
          <cell r="E2107" t="str">
            <v>垫圈</v>
          </cell>
          <cell r="F2107">
            <v>5.77</v>
          </cell>
        </row>
        <row r="2108">
          <cell r="B2108">
            <v>5558678</v>
          </cell>
        </row>
        <row r="2108">
          <cell r="D2108">
            <v>0</v>
          </cell>
          <cell r="E2108" t="str">
            <v>垫片，安装</v>
          </cell>
          <cell r="F2108">
            <v>6.95</v>
          </cell>
        </row>
        <row r="2109">
          <cell r="B2109">
            <v>5319505</v>
          </cell>
        </row>
        <row r="2109">
          <cell r="D2109">
            <v>0</v>
          </cell>
          <cell r="E2109" t="str">
            <v>电子燃油控制执行器</v>
          </cell>
          <cell r="F2109">
            <v>554.9769</v>
          </cell>
        </row>
        <row r="2110">
          <cell r="B2110">
            <v>5298424</v>
          </cell>
        </row>
        <row r="2110">
          <cell r="D2110" t="str">
            <v>ISF3.8</v>
          </cell>
          <cell r="E2110" t="str">
            <v>电子燃油控制执行器</v>
          </cell>
          <cell r="F2110">
            <v>554.9769</v>
          </cell>
        </row>
        <row r="2111">
          <cell r="B2111">
            <v>5348867</v>
          </cell>
        </row>
        <row r="2111">
          <cell r="D2111">
            <v>0</v>
          </cell>
          <cell r="E2111" t="str">
            <v>电子控制模块-需刷写程序</v>
          </cell>
          <cell r="F2111">
            <v>6763.4568</v>
          </cell>
        </row>
        <row r="2112">
          <cell r="B2112">
            <v>5293527</v>
          </cell>
        </row>
        <row r="2112">
          <cell r="D2112" t="str">
            <v>ISF3.8</v>
          </cell>
          <cell r="E2112" t="str">
            <v>电子控制模块-需刷写程序</v>
          </cell>
          <cell r="F2112">
            <v>1670.65</v>
          </cell>
        </row>
        <row r="2113">
          <cell r="B2113">
            <v>5302340</v>
          </cell>
        </row>
        <row r="2113">
          <cell r="D2113">
            <v>0</v>
          </cell>
          <cell r="E2113" t="str">
            <v>电器件接口模块(机械泵,无需刷写数据)</v>
          </cell>
          <cell r="F2113">
            <v>505.9557</v>
          </cell>
        </row>
        <row r="2114">
          <cell r="B2114">
            <v>5303458</v>
          </cell>
        </row>
        <row r="2114">
          <cell r="D2114">
            <v>0</v>
          </cell>
          <cell r="E2114" t="str">
            <v>电器件接口模块(机械泵,无需刷写数据)</v>
          </cell>
          <cell r="F2114">
            <v>492.73</v>
          </cell>
        </row>
        <row r="2115">
          <cell r="B2115">
            <v>3696613</v>
          </cell>
        </row>
        <row r="2115">
          <cell r="D2115">
            <v>0</v>
          </cell>
          <cell r="E2115" t="str">
            <v>电气连接件</v>
          </cell>
          <cell r="F2115">
            <v>29.3301</v>
          </cell>
        </row>
        <row r="2116">
          <cell r="B2116">
            <v>5371007</v>
          </cell>
        </row>
        <row r="2116">
          <cell r="D2116">
            <v>0</v>
          </cell>
          <cell r="E2116" t="str">
            <v>电气接头支架</v>
          </cell>
          <cell r="F2116">
            <v>11.62</v>
          </cell>
        </row>
        <row r="2117">
          <cell r="B2117">
            <v>3688983</v>
          </cell>
        </row>
        <row r="2117">
          <cell r="D2117">
            <v>0</v>
          </cell>
          <cell r="E2117" t="str">
            <v>电气接头护套</v>
          </cell>
          <cell r="F2117">
            <v>19.56</v>
          </cell>
        </row>
        <row r="2118">
          <cell r="B2118">
            <v>5583965</v>
          </cell>
        </row>
        <row r="2118">
          <cell r="D2118">
            <v>0</v>
          </cell>
          <cell r="E2118" t="str">
            <v>电控模块支架</v>
          </cell>
          <cell r="F2118">
            <v>289.46</v>
          </cell>
        </row>
        <row r="2119">
          <cell r="B2119">
            <v>5575462</v>
          </cell>
        </row>
        <row r="2119">
          <cell r="D2119">
            <v>0</v>
          </cell>
          <cell r="E2119" t="str">
            <v>电控模块支架</v>
          </cell>
          <cell r="F2119">
            <v>224.42</v>
          </cell>
        </row>
        <row r="2120">
          <cell r="B2120">
            <v>3697739</v>
          </cell>
        </row>
        <row r="2120">
          <cell r="D2120">
            <v>0</v>
          </cell>
          <cell r="E2120" t="str">
            <v>电控模块支架</v>
          </cell>
          <cell r="F2120">
            <v>211.87</v>
          </cell>
        </row>
        <row r="2121">
          <cell r="B2121">
            <v>5558771</v>
          </cell>
        </row>
        <row r="2121">
          <cell r="D2121">
            <v>0</v>
          </cell>
          <cell r="E2121" t="str">
            <v>电控模块支架</v>
          </cell>
          <cell r="F2121">
            <v>211.87</v>
          </cell>
        </row>
        <row r="2122">
          <cell r="B2122">
            <v>3696976</v>
          </cell>
        </row>
        <row r="2122">
          <cell r="D2122">
            <v>0</v>
          </cell>
          <cell r="E2122" t="str">
            <v>电控模块支架</v>
          </cell>
          <cell r="F2122">
            <v>189.13</v>
          </cell>
        </row>
        <row r="2123">
          <cell r="B2123">
            <v>3697605</v>
          </cell>
        </row>
        <row r="2123">
          <cell r="D2123">
            <v>0</v>
          </cell>
          <cell r="E2123" t="str">
            <v>电控模块支架</v>
          </cell>
          <cell r="F2123">
            <v>176.82</v>
          </cell>
        </row>
        <row r="2124">
          <cell r="B2124">
            <v>5294119</v>
          </cell>
        </row>
        <row r="2124">
          <cell r="D2124">
            <v>0</v>
          </cell>
          <cell r="E2124" t="str">
            <v>电控模块支架</v>
          </cell>
          <cell r="F2124">
            <v>150.66</v>
          </cell>
        </row>
        <row r="2125">
          <cell r="B2125">
            <v>5485493</v>
          </cell>
        </row>
        <row r="2125">
          <cell r="D2125">
            <v>0</v>
          </cell>
          <cell r="E2125" t="str">
            <v>电控模块支架</v>
          </cell>
          <cell r="F2125">
            <v>137.29</v>
          </cell>
        </row>
        <row r="2126">
          <cell r="B2126">
            <v>5317106</v>
          </cell>
        </row>
        <row r="2126">
          <cell r="D2126" t="str">
            <v>ISF3.8</v>
          </cell>
          <cell r="E2126" t="str">
            <v>电控模块-需刷写程序</v>
          </cell>
          <cell r="F2126">
            <v>2643.4492845</v>
          </cell>
        </row>
        <row r="2127">
          <cell r="B2127">
            <v>5291535</v>
          </cell>
        </row>
        <row r="2127">
          <cell r="D2127" t="str">
            <v>ISF3.8</v>
          </cell>
          <cell r="E2127" t="str">
            <v>电控模块-需刷写程序</v>
          </cell>
          <cell r="F2127">
            <v>1713.76</v>
          </cell>
        </row>
        <row r="2128">
          <cell r="B2128">
            <v>5377789</v>
          </cell>
        </row>
        <row r="2128">
          <cell r="D2128">
            <v>0</v>
          </cell>
          <cell r="E2128" t="str">
            <v>电控模块线束</v>
          </cell>
          <cell r="F2128">
            <v>2007.0516</v>
          </cell>
        </row>
        <row r="2129">
          <cell r="B2129">
            <v>3692107</v>
          </cell>
        </row>
        <row r="2129">
          <cell r="D2129">
            <v>0</v>
          </cell>
          <cell r="E2129" t="str">
            <v>电控模块线束</v>
          </cell>
          <cell r="F2129">
            <v>1491.53</v>
          </cell>
        </row>
        <row r="2130">
          <cell r="B2130">
            <v>5612191</v>
          </cell>
        </row>
        <row r="2130">
          <cell r="D2130">
            <v>0</v>
          </cell>
          <cell r="E2130" t="str">
            <v>电控模块线束</v>
          </cell>
          <cell r="F2130">
            <v>1303.01</v>
          </cell>
        </row>
        <row r="2131">
          <cell r="B2131">
            <v>5558719</v>
          </cell>
        </row>
        <row r="2131">
          <cell r="D2131">
            <v>0</v>
          </cell>
          <cell r="E2131" t="str">
            <v>电控模块线束</v>
          </cell>
          <cell r="F2131">
            <v>1050.39</v>
          </cell>
        </row>
        <row r="2132">
          <cell r="B2132">
            <v>5558062</v>
          </cell>
        </row>
        <row r="2132">
          <cell r="D2132">
            <v>0</v>
          </cell>
          <cell r="E2132" t="str">
            <v>电控模块线束</v>
          </cell>
          <cell r="F2132">
            <v>1337.5943</v>
          </cell>
        </row>
        <row r="2133">
          <cell r="B2133">
            <v>5335433</v>
          </cell>
        </row>
        <row r="2133">
          <cell r="D2133">
            <v>0</v>
          </cell>
          <cell r="E2133" t="str">
            <v>电控模块线束</v>
          </cell>
          <cell r="F2133">
            <v>947.32</v>
          </cell>
        </row>
        <row r="2134">
          <cell r="B2134">
            <v>5364528</v>
          </cell>
        </row>
        <row r="2134">
          <cell r="D2134">
            <v>0</v>
          </cell>
          <cell r="E2134" t="str">
            <v>电控模块线束</v>
          </cell>
          <cell r="F2134">
            <v>965.58</v>
          </cell>
        </row>
        <row r="2135">
          <cell r="B2135">
            <v>5339532</v>
          </cell>
        </row>
        <row r="2135">
          <cell r="D2135">
            <v>0</v>
          </cell>
          <cell r="E2135" t="str">
            <v>电控模块线束</v>
          </cell>
          <cell r="F2135">
            <v>962.36</v>
          </cell>
        </row>
        <row r="2136">
          <cell r="B2136">
            <v>5402683</v>
          </cell>
        </row>
        <row r="2136">
          <cell r="D2136">
            <v>0</v>
          </cell>
          <cell r="E2136" t="str">
            <v>电控模块线束</v>
          </cell>
          <cell r="F2136">
            <v>961.94</v>
          </cell>
        </row>
        <row r="2137">
          <cell r="B2137">
            <v>5396490</v>
          </cell>
        </row>
        <row r="2137">
          <cell r="D2137">
            <v>0</v>
          </cell>
          <cell r="E2137" t="str">
            <v>电控模块线束</v>
          </cell>
          <cell r="F2137">
            <v>1044.5855</v>
          </cell>
        </row>
        <row r="2138">
          <cell r="B2138">
            <v>5306284</v>
          </cell>
        </row>
        <row r="2138">
          <cell r="D2138">
            <v>0</v>
          </cell>
          <cell r="E2138" t="str">
            <v>电控模块线束</v>
          </cell>
          <cell r="F2138">
            <v>929.49</v>
          </cell>
        </row>
        <row r="2139">
          <cell r="B2139">
            <v>5349334</v>
          </cell>
        </row>
        <row r="2139">
          <cell r="D2139">
            <v>0</v>
          </cell>
          <cell r="E2139" t="str">
            <v>电控模块线束</v>
          </cell>
          <cell r="F2139">
            <v>986.0359</v>
          </cell>
        </row>
        <row r="2140">
          <cell r="B2140">
            <v>5313376</v>
          </cell>
        </row>
        <row r="2140">
          <cell r="D2140">
            <v>0</v>
          </cell>
          <cell r="E2140" t="str">
            <v>电控模块线束</v>
          </cell>
          <cell r="F2140">
            <v>998.2609</v>
          </cell>
        </row>
        <row r="2141">
          <cell r="B2141">
            <v>5558349</v>
          </cell>
        </row>
        <row r="2141">
          <cell r="D2141">
            <v>0</v>
          </cell>
          <cell r="E2141" t="str">
            <v>电控模块线束</v>
          </cell>
          <cell r="F2141">
            <v>878.6</v>
          </cell>
        </row>
        <row r="2142">
          <cell r="B2142">
            <v>5304809</v>
          </cell>
        </row>
        <row r="2142">
          <cell r="D2142">
            <v>0</v>
          </cell>
          <cell r="E2142" t="str">
            <v>电控模块线束</v>
          </cell>
          <cell r="F2142">
            <v>858.63</v>
          </cell>
        </row>
        <row r="2143">
          <cell r="B2143">
            <v>5291089</v>
          </cell>
        </row>
        <row r="2143">
          <cell r="D2143">
            <v>0</v>
          </cell>
          <cell r="E2143" t="str">
            <v>电控模块线束</v>
          </cell>
          <cell r="F2143">
            <v>856.37</v>
          </cell>
        </row>
        <row r="2144">
          <cell r="B2144">
            <v>5369130</v>
          </cell>
        </row>
        <row r="2144">
          <cell r="D2144">
            <v>0</v>
          </cell>
          <cell r="E2144" t="str">
            <v>电控模块线束</v>
          </cell>
          <cell r="F2144">
            <v>852.84</v>
          </cell>
        </row>
        <row r="2145">
          <cell r="B2145">
            <v>5317932</v>
          </cell>
        </row>
        <row r="2145">
          <cell r="D2145">
            <v>0</v>
          </cell>
          <cell r="E2145" t="str">
            <v>电控模块线束</v>
          </cell>
          <cell r="F2145">
            <v>950.9909</v>
          </cell>
        </row>
        <row r="2146">
          <cell r="B2146">
            <v>5343045</v>
          </cell>
        </row>
        <row r="2146">
          <cell r="D2146">
            <v>0</v>
          </cell>
          <cell r="E2146" t="str">
            <v>电控模块线束</v>
          </cell>
          <cell r="F2146">
            <v>838.17</v>
          </cell>
        </row>
        <row r="2147">
          <cell r="B2147">
            <v>5621361</v>
          </cell>
        </row>
        <row r="2147">
          <cell r="D2147">
            <v>0</v>
          </cell>
          <cell r="E2147" t="str">
            <v>电控模块线束</v>
          </cell>
          <cell r="F2147">
            <v>852.001</v>
          </cell>
        </row>
        <row r="2148">
          <cell r="B2148">
            <v>5478392</v>
          </cell>
        </row>
        <row r="2148">
          <cell r="D2148">
            <v>0</v>
          </cell>
          <cell r="E2148" t="str">
            <v>电控模块线束</v>
          </cell>
          <cell r="F2148">
            <v>837.75</v>
          </cell>
        </row>
        <row r="2149">
          <cell r="B2149">
            <v>5569744</v>
          </cell>
        </row>
        <row r="2149">
          <cell r="D2149">
            <v>0</v>
          </cell>
          <cell r="E2149" t="str">
            <v>电控模块线束</v>
          </cell>
          <cell r="F2149">
            <v>837.75</v>
          </cell>
        </row>
        <row r="2150">
          <cell r="B2150">
            <v>5447344</v>
          </cell>
        </row>
        <row r="2150">
          <cell r="D2150">
            <v>0</v>
          </cell>
          <cell r="E2150" t="str">
            <v>电控模块线束</v>
          </cell>
          <cell r="F2150">
            <v>837.75</v>
          </cell>
        </row>
        <row r="2151">
          <cell r="B2151">
            <v>5561633</v>
          </cell>
        </row>
        <row r="2151">
          <cell r="D2151">
            <v>0</v>
          </cell>
          <cell r="E2151" t="str">
            <v>电控模块线束</v>
          </cell>
          <cell r="F2151">
            <v>837.75</v>
          </cell>
        </row>
        <row r="2152">
          <cell r="B2152">
            <v>5569743</v>
          </cell>
        </row>
        <row r="2152">
          <cell r="D2152">
            <v>0</v>
          </cell>
          <cell r="E2152" t="str">
            <v>电控模块线束</v>
          </cell>
          <cell r="F2152">
            <v>837.75</v>
          </cell>
        </row>
        <row r="2153">
          <cell r="B2153">
            <v>5561635</v>
          </cell>
        </row>
        <row r="2153">
          <cell r="D2153">
            <v>0</v>
          </cell>
          <cell r="E2153" t="str">
            <v>电控模块线束</v>
          </cell>
          <cell r="F2153">
            <v>837.75</v>
          </cell>
        </row>
        <row r="2154">
          <cell r="B2154">
            <v>5563787</v>
          </cell>
        </row>
        <row r="2154">
          <cell r="D2154">
            <v>0</v>
          </cell>
          <cell r="E2154" t="str">
            <v>电控模块线束</v>
          </cell>
          <cell r="F2154">
            <v>837.75</v>
          </cell>
        </row>
        <row r="2155">
          <cell r="B2155">
            <v>5592518</v>
          </cell>
        </row>
        <row r="2155">
          <cell r="D2155">
            <v>0</v>
          </cell>
          <cell r="E2155" t="str">
            <v>电控模块线束</v>
          </cell>
          <cell r="F2155">
            <v>837.75</v>
          </cell>
        </row>
        <row r="2156">
          <cell r="B2156">
            <v>5592539</v>
          </cell>
        </row>
        <row r="2156">
          <cell r="D2156">
            <v>0</v>
          </cell>
          <cell r="E2156" t="str">
            <v>电控模块线束</v>
          </cell>
          <cell r="F2156">
            <v>837.75</v>
          </cell>
        </row>
        <row r="2157">
          <cell r="B2157">
            <v>5561632</v>
          </cell>
        </row>
        <row r="2157">
          <cell r="D2157">
            <v>0</v>
          </cell>
          <cell r="E2157" t="str">
            <v>电控模块线束</v>
          </cell>
          <cell r="F2157">
            <v>837.75</v>
          </cell>
        </row>
        <row r="2158">
          <cell r="B2158">
            <v>5591376</v>
          </cell>
        </row>
        <row r="2158">
          <cell r="D2158">
            <v>0</v>
          </cell>
          <cell r="E2158" t="str">
            <v>电控模块线束</v>
          </cell>
          <cell r="F2158">
            <v>837.7</v>
          </cell>
        </row>
        <row r="2159">
          <cell r="B2159">
            <v>5313382</v>
          </cell>
        </row>
        <row r="2159">
          <cell r="D2159">
            <v>0</v>
          </cell>
          <cell r="E2159" t="str">
            <v>电控模块线束</v>
          </cell>
          <cell r="F2159">
            <v>829.9</v>
          </cell>
        </row>
        <row r="2160">
          <cell r="B2160">
            <v>5368218</v>
          </cell>
        </row>
        <row r="2160">
          <cell r="D2160">
            <v>0</v>
          </cell>
          <cell r="E2160" t="str">
            <v>电控模块线束</v>
          </cell>
          <cell r="F2160">
            <v>901.6834</v>
          </cell>
        </row>
        <row r="2161">
          <cell r="B2161">
            <v>5306286</v>
          </cell>
        </row>
        <row r="2161">
          <cell r="D2161">
            <v>0</v>
          </cell>
          <cell r="E2161" t="str">
            <v>电控模块线束</v>
          </cell>
          <cell r="F2161">
            <v>900.2816</v>
          </cell>
        </row>
        <row r="2162">
          <cell r="B2162">
            <v>5304808</v>
          </cell>
        </row>
        <row r="2162">
          <cell r="D2162">
            <v>0</v>
          </cell>
          <cell r="E2162" t="str">
            <v>电控模块线束</v>
          </cell>
          <cell r="F2162">
            <v>820.5</v>
          </cell>
        </row>
        <row r="2163">
          <cell r="B2163">
            <v>5569740</v>
          </cell>
        </row>
        <row r="2163">
          <cell r="D2163">
            <v>0</v>
          </cell>
          <cell r="E2163" t="str">
            <v>电控模块线束</v>
          </cell>
          <cell r="F2163">
            <v>838.2112</v>
          </cell>
        </row>
        <row r="2164">
          <cell r="B2164">
            <v>5569742</v>
          </cell>
        </row>
        <row r="2164">
          <cell r="D2164" t="str">
            <v>ISF2.8</v>
          </cell>
          <cell r="E2164" t="str">
            <v>电控模块线束</v>
          </cell>
          <cell r="F2164">
            <v>743.652</v>
          </cell>
        </row>
        <row r="2165">
          <cell r="B2165">
            <v>5583766</v>
          </cell>
        </row>
        <row r="2165">
          <cell r="D2165">
            <v>0</v>
          </cell>
          <cell r="E2165" t="str">
            <v>电控模块线束</v>
          </cell>
          <cell r="F2165">
            <v>816.09</v>
          </cell>
        </row>
        <row r="2166">
          <cell r="B2166">
            <v>5569741</v>
          </cell>
        </row>
        <row r="2166">
          <cell r="D2166">
            <v>0</v>
          </cell>
          <cell r="E2166" t="str">
            <v>电控模块线束</v>
          </cell>
          <cell r="F2166">
            <v>816.08</v>
          </cell>
        </row>
        <row r="2167">
          <cell r="B2167">
            <v>5583770</v>
          </cell>
        </row>
        <row r="2167">
          <cell r="D2167">
            <v>0</v>
          </cell>
          <cell r="E2167" t="str">
            <v>电控模块线束</v>
          </cell>
          <cell r="F2167">
            <v>816.08</v>
          </cell>
        </row>
        <row r="2168">
          <cell r="B2168">
            <v>5562876</v>
          </cell>
        </row>
        <row r="2168">
          <cell r="D2168">
            <v>0</v>
          </cell>
          <cell r="E2168" t="str">
            <v>电控模块线束</v>
          </cell>
          <cell r="F2168">
            <v>816.08</v>
          </cell>
        </row>
        <row r="2169">
          <cell r="B2169">
            <v>5306293</v>
          </cell>
        </row>
        <row r="2169">
          <cell r="D2169">
            <v>0</v>
          </cell>
          <cell r="E2169" t="str">
            <v>电控模块线束</v>
          </cell>
          <cell r="F2169">
            <v>889.4584</v>
          </cell>
        </row>
        <row r="2170">
          <cell r="B2170">
            <v>5318116</v>
          </cell>
        </row>
        <row r="2170">
          <cell r="D2170">
            <v>0</v>
          </cell>
          <cell r="E2170" t="str">
            <v>电控模块线束</v>
          </cell>
          <cell r="F2170">
            <v>809.27</v>
          </cell>
        </row>
        <row r="2171">
          <cell r="B2171">
            <v>5624643</v>
          </cell>
        </row>
        <row r="2171">
          <cell r="D2171">
            <v>0</v>
          </cell>
          <cell r="E2171" t="str">
            <v>电控模块线束</v>
          </cell>
          <cell r="F2171">
            <v>886.6385</v>
          </cell>
        </row>
        <row r="2172">
          <cell r="B2172">
            <v>5308894</v>
          </cell>
        </row>
        <row r="2172">
          <cell r="D2172">
            <v>0</v>
          </cell>
          <cell r="E2172" t="str">
            <v>电控模块线束</v>
          </cell>
          <cell r="F2172">
            <v>788.42</v>
          </cell>
        </row>
        <row r="2173">
          <cell r="B2173">
            <v>5342591</v>
          </cell>
        </row>
        <row r="2173">
          <cell r="D2173" t="str">
            <v>ISF2.8</v>
          </cell>
          <cell r="E2173" t="str">
            <v>电控模块线束</v>
          </cell>
          <cell r="F2173">
            <v>857.9831</v>
          </cell>
        </row>
        <row r="2174">
          <cell r="B2174">
            <v>5446604</v>
          </cell>
        </row>
        <row r="2174">
          <cell r="D2174">
            <v>0</v>
          </cell>
          <cell r="E2174" t="str">
            <v>电控模块线束</v>
          </cell>
          <cell r="F2174">
            <v>850.2569</v>
          </cell>
        </row>
        <row r="2175">
          <cell r="B2175">
            <v>5313378</v>
          </cell>
        </row>
        <row r="2175">
          <cell r="D2175">
            <v>0</v>
          </cell>
          <cell r="E2175" t="str">
            <v>电控模块线束</v>
          </cell>
          <cell r="F2175">
            <v>849.6864</v>
          </cell>
        </row>
        <row r="2176">
          <cell r="B2176">
            <v>5446831</v>
          </cell>
        </row>
        <row r="2176">
          <cell r="D2176">
            <v>0</v>
          </cell>
          <cell r="E2176" t="str">
            <v>电控模块线束</v>
          </cell>
          <cell r="F2176">
            <v>848.6106</v>
          </cell>
        </row>
        <row r="2177">
          <cell r="B2177">
            <v>5441882</v>
          </cell>
        </row>
        <row r="2177">
          <cell r="D2177">
            <v>0</v>
          </cell>
          <cell r="E2177" t="str">
            <v>电控模块线束</v>
          </cell>
          <cell r="F2177">
            <v>833.9406</v>
          </cell>
        </row>
        <row r="2178">
          <cell r="B2178">
            <v>5441881</v>
          </cell>
        </row>
        <row r="2178">
          <cell r="D2178">
            <v>0</v>
          </cell>
          <cell r="E2178" t="str">
            <v>电控模块线束</v>
          </cell>
          <cell r="F2178">
            <v>761.73</v>
          </cell>
        </row>
        <row r="2179">
          <cell r="B2179">
            <v>5306278</v>
          </cell>
        </row>
        <row r="2179">
          <cell r="D2179">
            <v>0</v>
          </cell>
          <cell r="E2179" t="str">
            <v>电控模块线束</v>
          </cell>
          <cell r="F2179">
            <v>759.9</v>
          </cell>
        </row>
        <row r="2180">
          <cell r="B2180">
            <v>5400989</v>
          </cell>
        </row>
        <row r="2180">
          <cell r="D2180">
            <v>0</v>
          </cell>
          <cell r="E2180" t="str">
            <v>电控模块线束</v>
          </cell>
          <cell r="F2180">
            <v>830.2405</v>
          </cell>
        </row>
        <row r="2181">
          <cell r="B2181">
            <v>5446405</v>
          </cell>
        </row>
        <row r="2181">
          <cell r="D2181">
            <v>0</v>
          </cell>
          <cell r="E2181" t="str">
            <v>电控模块线束</v>
          </cell>
          <cell r="F2181">
            <v>825.3016</v>
          </cell>
        </row>
        <row r="2182">
          <cell r="B2182">
            <v>5306283</v>
          </cell>
        </row>
        <row r="2182">
          <cell r="D2182">
            <v>0</v>
          </cell>
          <cell r="E2182" t="str">
            <v>电控模块线束</v>
          </cell>
          <cell r="F2182">
            <v>751.98</v>
          </cell>
        </row>
        <row r="2183">
          <cell r="B2183">
            <v>5313383</v>
          </cell>
        </row>
        <row r="2183">
          <cell r="D2183">
            <v>0</v>
          </cell>
          <cell r="E2183" t="str">
            <v>电控模块线束</v>
          </cell>
          <cell r="F2183">
            <v>814.0709</v>
          </cell>
        </row>
        <row r="2184">
          <cell r="B2184">
            <v>5346549</v>
          </cell>
        </row>
        <row r="2184">
          <cell r="D2184">
            <v>0</v>
          </cell>
          <cell r="E2184" t="str">
            <v>电控模块线束</v>
          </cell>
          <cell r="F2184">
            <v>749.66</v>
          </cell>
        </row>
        <row r="2185">
          <cell r="B2185">
            <v>5370552</v>
          </cell>
        </row>
        <row r="2185">
          <cell r="D2185">
            <v>0</v>
          </cell>
          <cell r="E2185" t="str">
            <v>电控模块线束</v>
          </cell>
          <cell r="F2185">
            <v>804.731</v>
          </cell>
        </row>
        <row r="2186">
          <cell r="B2186">
            <v>5400987</v>
          </cell>
        </row>
        <row r="2186">
          <cell r="D2186">
            <v>0</v>
          </cell>
          <cell r="E2186" t="str">
            <v>电控模块线束</v>
          </cell>
          <cell r="F2186">
            <v>809.2624</v>
          </cell>
        </row>
        <row r="2187">
          <cell r="B2187">
            <v>5524190</v>
          </cell>
        </row>
        <row r="2187">
          <cell r="D2187">
            <v>0</v>
          </cell>
          <cell r="E2187" t="str">
            <v>电控模块线束</v>
          </cell>
          <cell r="F2187">
            <v>803.1825</v>
          </cell>
        </row>
        <row r="2188">
          <cell r="B2188">
            <v>5306288</v>
          </cell>
        </row>
        <row r="2188">
          <cell r="D2188">
            <v>0</v>
          </cell>
          <cell r="E2188" t="str">
            <v>电控模块线束</v>
          </cell>
          <cell r="F2188">
            <v>692.6</v>
          </cell>
        </row>
        <row r="2189">
          <cell r="B2189">
            <v>5346742</v>
          </cell>
        </row>
        <row r="2189">
          <cell r="D2189">
            <v>0</v>
          </cell>
          <cell r="E2189" t="str">
            <v>电控模块线束</v>
          </cell>
          <cell r="F2189">
            <v>793.3047</v>
          </cell>
        </row>
        <row r="2190">
          <cell r="B2190">
            <v>5255051</v>
          </cell>
        </row>
        <row r="2190">
          <cell r="D2190">
            <v>0</v>
          </cell>
          <cell r="E2190" t="str">
            <v>电控模块线束</v>
          </cell>
          <cell r="F2190">
            <v>724.19</v>
          </cell>
        </row>
        <row r="2191">
          <cell r="B2191">
            <v>5348290</v>
          </cell>
        </row>
        <row r="2191">
          <cell r="D2191">
            <v>0</v>
          </cell>
          <cell r="E2191" t="str">
            <v>电控模块线束</v>
          </cell>
          <cell r="F2191">
            <v>789.9795</v>
          </cell>
        </row>
        <row r="2192">
          <cell r="B2192">
            <v>5317247</v>
          </cell>
        </row>
        <row r="2192">
          <cell r="D2192">
            <v>0</v>
          </cell>
          <cell r="E2192" t="str">
            <v>电控模块线束</v>
          </cell>
          <cell r="F2192">
            <v>731.1854</v>
          </cell>
        </row>
        <row r="2193">
          <cell r="B2193">
            <v>5405290</v>
          </cell>
        </row>
        <row r="2193">
          <cell r="D2193">
            <v>0</v>
          </cell>
          <cell r="E2193" t="str">
            <v>电控模块线束</v>
          </cell>
          <cell r="F2193">
            <v>714.14</v>
          </cell>
        </row>
        <row r="2194">
          <cell r="B2194">
            <v>5313379</v>
          </cell>
        </row>
        <row r="2194">
          <cell r="D2194">
            <v>0</v>
          </cell>
          <cell r="E2194" t="str">
            <v>电控模块线束</v>
          </cell>
          <cell r="F2194">
            <v>768.1864</v>
          </cell>
        </row>
        <row r="2195">
          <cell r="B2195">
            <v>5319319</v>
          </cell>
        </row>
        <row r="2195">
          <cell r="D2195">
            <v>0</v>
          </cell>
          <cell r="E2195" t="str">
            <v>电控模块线束</v>
          </cell>
          <cell r="F2195">
            <v>740.4764</v>
          </cell>
        </row>
        <row r="2196">
          <cell r="B2196">
            <v>5405291</v>
          </cell>
        </row>
        <row r="2196">
          <cell r="D2196">
            <v>0</v>
          </cell>
          <cell r="E2196" t="str">
            <v>电控模块线束</v>
          </cell>
          <cell r="F2196">
            <v>769.0992</v>
          </cell>
        </row>
        <row r="2197">
          <cell r="B2197">
            <v>5316892</v>
          </cell>
        </row>
        <row r="2197">
          <cell r="D2197">
            <v>0</v>
          </cell>
          <cell r="E2197" t="str">
            <v>电控模块线束</v>
          </cell>
          <cell r="F2197">
            <v>768.9688</v>
          </cell>
        </row>
        <row r="2198">
          <cell r="B2198">
            <v>5270907</v>
          </cell>
        </row>
        <row r="2198">
          <cell r="D2198">
            <v>0</v>
          </cell>
          <cell r="E2198" t="str">
            <v>电控模块线束</v>
          </cell>
          <cell r="F2198">
            <v>702.59</v>
          </cell>
        </row>
        <row r="2199">
          <cell r="B2199">
            <v>5486986</v>
          </cell>
        </row>
        <row r="2199">
          <cell r="D2199">
            <v>0</v>
          </cell>
          <cell r="E2199" t="str">
            <v>电控模块线束</v>
          </cell>
          <cell r="F2199">
            <v>693.06</v>
          </cell>
        </row>
        <row r="2200">
          <cell r="B2200">
            <v>5347506</v>
          </cell>
        </row>
        <row r="2200">
          <cell r="D2200" t="str">
            <v>ISF3.8</v>
          </cell>
          <cell r="E2200" t="str">
            <v>电控模块线束</v>
          </cell>
          <cell r="F2200">
            <v>755.7006</v>
          </cell>
        </row>
        <row r="2201">
          <cell r="B2201">
            <v>5267147</v>
          </cell>
        </row>
        <row r="2201">
          <cell r="D2201">
            <v>0</v>
          </cell>
          <cell r="E2201" t="str">
            <v>电控模块线束</v>
          </cell>
          <cell r="F2201">
            <v>772.3266</v>
          </cell>
        </row>
        <row r="2202">
          <cell r="B2202">
            <v>5313384</v>
          </cell>
        </row>
        <row r="2202">
          <cell r="D2202">
            <v>0</v>
          </cell>
          <cell r="E2202" t="str">
            <v>电控模块线束</v>
          </cell>
          <cell r="F2202">
            <v>739.7755</v>
          </cell>
        </row>
        <row r="2203">
          <cell r="B2203">
            <v>5306276</v>
          </cell>
        </row>
        <row r="2203">
          <cell r="D2203">
            <v>0</v>
          </cell>
          <cell r="E2203" t="str">
            <v>电控模块线束</v>
          </cell>
          <cell r="F2203">
            <v>699.8731</v>
          </cell>
        </row>
        <row r="2204">
          <cell r="B2204">
            <v>5563942</v>
          </cell>
        </row>
        <row r="2204">
          <cell r="D2204">
            <v>0</v>
          </cell>
          <cell r="E2204" t="str">
            <v>电控模块线束</v>
          </cell>
          <cell r="F2204">
            <v>679.29</v>
          </cell>
        </row>
        <row r="2205">
          <cell r="B2205">
            <v>5306290</v>
          </cell>
        </row>
        <row r="2205">
          <cell r="D2205">
            <v>0</v>
          </cell>
          <cell r="E2205" t="str">
            <v>电控模块线束</v>
          </cell>
          <cell r="F2205">
            <v>677.73</v>
          </cell>
        </row>
        <row r="2206">
          <cell r="B2206">
            <v>5305338</v>
          </cell>
        </row>
        <row r="2206">
          <cell r="D2206">
            <v>0</v>
          </cell>
          <cell r="E2206" t="str">
            <v>电控模块线束</v>
          </cell>
          <cell r="F2206">
            <v>716.7436</v>
          </cell>
        </row>
        <row r="2207">
          <cell r="B2207">
            <v>5306277</v>
          </cell>
        </row>
        <row r="2207">
          <cell r="D2207">
            <v>0</v>
          </cell>
          <cell r="E2207" t="str">
            <v>电控模块线束</v>
          </cell>
          <cell r="F2207">
            <v>712.0818</v>
          </cell>
        </row>
        <row r="2208">
          <cell r="B2208">
            <v>5361126</v>
          </cell>
        </row>
        <row r="2208">
          <cell r="D2208">
            <v>0</v>
          </cell>
          <cell r="E2208" t="str">
            <v>电控模块线束</v>
          </cell>
          <cell r="F2208">
            <v>710.2562</v>
          </cell>
        </row>
        <row r="2209">
          <cell r="B2209">
            <v>5448648</v>
          </cell>
        </row>
        <row r="2209">
          <cell r="D2209">
            <v>0</v>
          </cell>
          <cell r="E2209" t="str">
            <v>电控模块线束</v>
          </cell>
          <cell r="F2209">
            <v>689.2129</v>
          </cell>
        </row>
        <row r="2210">
          <cell r="B2210">
            <v>5306289</v>
          </cell>
          <cell r="C2210">
            <v>5260717</v>
          </cell>
          <cell r="D2210" t="str">
            <v>ISF3.8</v>
          </cell>
          <cell r="E2210" t="str">
            <v>电控模块线束</v>
          </cell>
          <cell r="F2210">
            <v>592.308</v>
          </cell>
        </row>
        <row r="2211">
          <cell r="B2211">
            <v>5313386</v>
          </cell>
        </row>
        <row r="2211">
          <cell r="D2211" t="str">
            <v>ISF2.8</v>
          </cell>
          <cell r="E2211" t="str">
            <v>电控模块线束</v>
          </cell>
          <cell r="F2211">
            <v>677.0205</v>
          </cell>
        </row>
        <row r="2212">
          <cell r="B2212">
            <v>5306282</v>
          </cell>
        </row>
        <row r="2212">
          <cell r="D2212">
            <v>0</v>
          </cell>
          <cell r="E2212" t="str">
            <v>电控模块线束</v>
          </cell>
          <cell r="F2212">
            <v>611.45</v>
          </cell>
        </row>
        <row r="2213">
          <cell r="B2213">
            <v>5575136</v>
          </cell>
        </row>
        <row r="2213">
          <cell r="D2213" t="str">
            <v>ISG</v>
          </cell>
          <cell r="E2213" t="str">
            <v>电控模块线束</v>
          </cell>
          <cell r="F2213">
            <v>772.2451</v>
          </cell>
        </row>
        <row r="2214">
          <cell r="B2214">
            <v>5306279</v>
          </cell>
        </row>
        <row r="2214">
          <cell r="D2214" t="str">
            <v>ISF2.8</v>
          </cell>
          <cell r="E2214" t="str">
            <v>电控模块线束</v>
          </cell>
          <cell r="F2214">
            <v>649.1801</v>
          </cell>
        </row>
        <row r="2215">
          <cell r="B2215">
            <v>5583768</v>
          </cell>
        </row>
        <row r="2215">
          <cell r="D2215" t="str">
            <v>ISF3.8</v>
          </cell>
          <cell r="E2215" t="str">
            <v>电控模块线束</v>
          </cell>
          <cell r="F2215">
            <v>647.7457</v>
          </cell>
        </row>
        <row r="2216">
          <cell r="B2216">
            <v>5530125</v>
          </cell>
        </row>
        <row r="2216">
          <cell r="D2216" t="str">
            <v>ISF4.5</v>
          </cell>
          <cell r="E2216" t="str">
            <v>电控模块线束</v>
          </cell>
          <cell r="F2216">
            <v>577.59</v>
          </cell>
        </row>
        <row r="2217">
          <cell r="B2217">
            <v>5441110</v>
          </cell>
        </row>
        <row r="2217">
          <cell r="D2217" t="str">
            <v>ISF2.8</v>
          </cell>
          <cell r="E2217" t="str">
            <v>电控模块线束</v>
          </cell>
          <cell r="F2217">
            <v>630.9404</v>
          </cell>
        </row>
        <row r="2218">
          <cell r="B2218">
            <v>5530126</v>
          </cell>
        </row>
        <row r="2218">
          <cell r="D2218" t="str">
            <v>ISF4.5</v>
          </cell>
          <cell r="E2218" t="str">
            <v>电控模块线束</v>
          </cell>
          <cell r="F2218">
            <v>558.91</v>
          </cell>
        </row>
        <row r="2219">
          <cell r="B2219">
            <v>5711803</v>
          </cell>
        </row>
        <row r="2219">
          <cell r="D2219">
            <v>0</v>
          </cell>
          <cell r="E2219" t="str">
            <v>电控模块线束</v>
          </cell>
          <cell r="F2219">
            <v>593.3852</v>
          </cell>
        </row>
        <row r="2220">
          <cell r="B2220">
            <v>5575330</v>
          </cell>
        </row>
        <row r="2220">
          <cell r="D2220">
            <v>0</v>
          </cell>
          <cell r="E2220" t="str">
            <v>电控模块线束</v>
          </cell>
          <cell r="F2220">
            <v>540.03</v>
          </cell>
        </row>
        <row r="2221">
          <cell r="B2221">
            <v>5620391</v>
          </cell>
        </row>
        <row r="2221">
          <cell r="D2221">
            <v>0</v>
          </cell>
          <cell r="E2221" t="str">
            <v>电控模块线束</v>
          </cell>
          <cell r="F2221">
            <v>534</v>
          </cell>
        </row>
        <row r="2222">
          <cell r="B2222">
            <v>5377790</v>
          </cell>
        </row>
        <row r="2222">
          <cell r="D2222">
            <v>0</v>
          </cell>
          <cell r="E2222" t="str">
            <v>电控模块线束</v>
          </cell>
          <cell r="F2222">
            <v>228.19</v>
          </cell>
        </row>
        <row r="2223">
          <cell r="B2223">
            <v>5256263</v>
          </cell>
        </row>
        <row r="2223">
          <cell r="D2223">
            <v>0</v>
          </cell>
          <cell r="E2223" t="str">
            <v>电控模块线束</v>
          </cell>
          <cell r="F2223">
            <v>65.4119</v>
          </cell>
        </row>
        <row r="2224">
          <cell r="B2224">
            <v>5293525</v>
          </cell>
          <cell r="C2224" t="str">
            <v>5293524/5258888</v>
          </cell>
          <cell r="D2224" t="str">
            <v>ISF2.8/3.8</v>
          </cell>
          <cell r="E2224" t="str">
            <v>电控模块（需刷写数据）</v>
          </cell>
          <cell r="F2224">
            <v>1784.63</v>
          </cell>
        </row>
        <row r="2225">
          <cell r="B2225">
            <v>5710111</v>
          </cell>
        </row>
        <row r="2225">
          <cell r="D2225">
            <v>0</v>
          </cell>
          <cell r="E2225" t="str">
            <v>电控模块</v>
          </cell>
          <cell r="F2225">
            <v>9658.71</v>
          </cell>
        </row>
        <row r="2226">
          <cell r="B2226">
            <v>5292428</v>
          </cell>
        </row>
        <row r="2226">
          <cell r="D2226">
            <v>0</v>
          </cell>
          <cell r="E2226" t="str">
            <v>电控模块</v>
          </cell>
          <cell r="F2226">
            <v>29.81</v>
          </cell>
        </row>
        <row r="2227">
          <cell r="B2227">
            <v>5614912</v>
          </cell>
        </row>
        <row r="2227">
          <cell r="D2227">
            <v>0</v>
          </cell>
          <cell r="E2227" t="str">
            <v>电机</v>
          </cell>
          <cell r="F2227">
            <v>2207.3</v>
          </cell>
        </row>
        <row r="2228">
          <cell r="B2228">
            <v>3697242</v>
          </cell>
        </row>
        <row r="2228">
          <cell r="D2228">
            <v>0</v>
          </cell>
          <cell r="E2228" t="str">
            <v>电磁阀卡箍</v>
          </cell>
          <cell r="F2228">
            <v>2.55</v>
          </cell>
        </row>
        <row r="2229">
          <cell r="B2229">
            <v>4994519</v>
          </cell>
        </row>
        <row r="2229">
          <cell r="D2229">
            <v>0</v>
          </cell>
          <cell r="E2229" t="str">
            <v>电池模块</v>
          </cell>
          <cell r="F2229">
            <v>101.5002</v>
          </cell>
        </row>
        <row r="2230">
          <cell r="B2230">
            <v>5377792</v>
          </cell>
        </row>
        <row r="2230">
          <cell r="D2230" t="str">
            <v>ISG</v>
          </cell>
          <cell r="E2230" t="str">
            <v>点火线圈延长线</v>
          </cell>
          <cell r="F2230">
            <v>97.155</v>
          </cell>
        </row>
        <row r="2231">
          <cell r="B2231">
            <v>5710869</v>
          </cell>
        </row>
        <row r="2231">
          <cell r="D2231">
            <v>0</v>
          </cell>
          <cell r="E2231" t="str">
            <v>点火线圈</v>
          </cell>
          <cell r="F2231">
            <v>560.1636</v>
          </cell>
        </row>
        <row r="2232">
          <cell r="B2232">
            <v>6381184</v>
          </cell>
          <cell r="C2232">
            <v>5582963</v>
          </cell>
          <cell r="D2232">
            <v>0</v>
          </cell>
          <cell r="E2232" t="str">
            <v>低压供油管</v>
          </cell>
          <cell r="F2232">
            <v>130.0194</v>
          </cell>
        </row>
        <row r="2233">
          <cell r="B2233">
            <v>5486258</v>
          </cell>
        </row>
        <row r="2233">
          <cell r="D2233">
            <v>0</v>
          </cell>
          <cell r="E2233" t="str">
            <v>挡圈</v>
          </cell>
          <cell r="F2233">
            <v>36.4446</v>
          </cell>
        </row>
        <row r="2234">
          <cell r="B2234">
            <v>3035960</v>
          </cell>
        </row>
        <row r="2234">
          <cell r="D2234" t="str">
            <v>ISF2.8/3.8</v>
          </cell>
          <cell r="E2234" t="str">
            <v>挡圈</v>
          </cell>
          <cell r="F2234">
            <v>6.73</v>
          </cell>
        </row>
        <row r="2235">
          <cell r="B2235">
            <v>5612380</v>
          </cell>
        </row>
        <row r="2235">
          <cell r="D2235" t="str">
            <v>ISG</v>
          </cell>
          <cell r="E2235" t="str">
            <v>挡圈</v>
          </cell>
          <cell r="F2235">
            <v>5.1</v>
          </cell>
        </row>
        <row r="2236">
          <cell r="B2236">
            <v>3920691</v>
          </cell>
        </row>
        <row r="2236">
          <cell r="D2236" t="str">
            <v>ISF3.8</v>
          </cell>
          <cell r="E2236" t="str">
            <v>挡圈</v>
          </cell>
          <cell r="F2236">
            <v>2.5</v>
          </cell>
        </row>
        <row r="2237">
          <cell r="B2237">
            <v>5311011</v>
          </cell>
          <cell r="C2237">
            <v>5272201</v>
          </cell>
          <cell r="D2237" t="str">
            <v>ISF2.8</v>
          </cell>
          <cell r="E2237" t="str">
            <v>挡圈</v>
          </cell>
          <cell r="F2237">
            <v>0.95</v>
          </cell>
        </row>
        <row r="2238">
          <cell r="B2238">
            <v>5334798</v>
          </cell>
        </row>
        <row r="2238">
          <cell r="D2238">
            <v>0</v>
          </cell>
          <cell r="E2238" t="str">
            <v>弹簧软管卡箍</v>
          </cell>
          <cell r="F2238">
            <v>5.71</v>
          </cell>
        </row>
        <row r="2239">
          <cell r="B2239">
            <v>5256193</v>
          </cell>
        </row>
        <row r="2239">
          <cell r="D2239" t="str">
            <v>ISF2.8/3.8</v>
          </cell>
          <cell r="E2239" t="str">
            <v>弹簧垫圈</v>
          </cell>
          <cell r="F2239">
            <v>19.89</v>
          </cell>
        </row>
        <row r="2240">
          <cell r="B2240">
            <v>5306493</v>
          </cell>
        </row>
        <row r="2240">
          <cell r="D2240">
            <v>0</v>
          </cell>
          <cell r="E2240" t="str">
            <v>带垫圈螺栓</v>
          </cell>
          <cell r="F2240">
            <v>15.4</v>
          </cell>
        </row>
        <row r="2241">
          <cell r="B2241">
            <v>3920854</v>
          </cell>
        </row>
        <row r="2241">
          <cell r="D2241">
            <v>0</v>
          </cell>
          <cell r="E2241" t="str">
            <v>带垫圈螺栓</v>
          </cell>
          <cell r="F2241">
            <v>8.4</v>
          </cell>
        </row>
        <row r="2242">
          <cell r="B2242">
            <v>5614999</v>
          </cell>
        </row>
        <row r="2242">
          <cell r="D2242">
            <v>0</v>
          </cell>
          <cell r="E2242" t="str">
            <v>带O形圈接头</v>
          </cell>
          <cell r="F2242">
            <v>27.8</v>
          </cell>
        </row>
        <row r="2243">
          <cell r="B2243">
            <v>3977357</v>
          </cell>
        </row>
        <row r="2243">
          <cell r="D2243">
            <v>0</v>
          </cell>
          <cell r="E2243" t="str">
            <v>搭铁线</v>
          </cell>
          <cell r="F2243">
            <v>12.8</v>
          </cell>
        </row>
        <row r="2244">
          <cell r="B2244">
            <v>5557875</v>
          </cell>
        </row>
        <row r="2244">
          <cell r="D2244">
            <v>0</v>
          </cell>
          <cell r="E2244" t="str">
            <v>传感器接头</v>
          </cell>
          <cell r="F2244">
            <v>130.56</v>
          </cell>
        </row>
        <row r="2245">
          <cell r="B2245">
            <v>5308784</v>
          </cell>
        </row>
        <row r="2245">
          <cell r="D2245">
            <v>0</v>
          </cell>
          <cell r="E2245" t="str">
            <v>除气管</v>
          </cell>
          <cell r="F2245">
            <v>34.73</v>
          </cell>
        </row>
        <row r="2246">
          <cell r="B2246">
            <v>5557893</v>
          </cell>
        </row>
        <row r="2246">
          <cell r="D2246" t="str">
            <v>ISG</v>
          </cell>
          <cell r="E2246" t="str">
            <v>出水连接件</v>
          </cell>
          <cell r="F2246">
            <v>2534.9652</v>
          </cell>
        </row>
        <row r="2247">
          <cell r="B2247">
            <v>5486805</v>
          </cell>
        </row>
        <row r="2247">
          <cell r="D2247">
            <v>0</v>
          </cell>
          <cell r="E2247" t="str">
            <v>出水连接件</v>
          </cell>
          <cell r="F2247">
            <v>333.22</v>
          </cell>
        </row>
        <row r="2248">
          <cell r="B2248">
            <v>3697712</v>
          </cell>
        </row>
        <row r="2248">
          <cell r="D2248" t="str">
            <v>ISG</v>
          </cell>
          <cell r="E2248" t="str">
            <v>出水连接件</v>
          </cell>
          <cell r="F2248">
            <v>346.3002</v>
          </cell>
        </row>
        <row r="2249">
          <cell r="B2249">
            <v>3697713</v>
          </cell>
        </row>
        <row r="2249">
          <cell r="D2249">
            <v>0</v>
          </cell>
          <cell r="E2249" t="str">
            <v>出水连接件</v>
          </cell>
          <cell r="F2249">
            <v>275.92</v>
          </cell>
        </row>
        <row r="2250">
          <cell r="B2250">
            <v>5486806</v>
          </cell>
        </row>
        <row r="2250">
          <cell r="D2250">
            <v>0</v>
          </cell>
          <cell r="E2250" t="str">
            <v>出水连接件</v>
          </cell>
          <cell r="F2250">
            <v>140.01</v>
          </cell>
        </row>
        <row r="2251">
          <cell r="B2251">
            <v>3697711</v>
          </cell>
        </row>
        <row r="2251">
          <cell r="D2251">
            <v>0</v>
          </cell>
          <cell r="E2251" t="str">
            <v>出水连接件</v>
          </cell>
          <cell r="F2251">
            <v>53.5653</v>
          </cell>
        </row>
        <row r="2252">
          <cell r="B2252">
            <v>5267307</v>
          </cell>
        </row>
        <row r="2252">
          <cell r="D2252">
            <v>0</v>
          </cell>
          <cell r="E2252" t="str">
            <v>出水连接件</v>
          </cell>
          <cell r="F2252">
            <v>43.1919</v>
          </cell>
        </row>
        <row r="2253">
          <cell r="B2253">
            <v>4992623</v>
          </cell>
        </row>
        <row r="2253">
          <cell r="D2253" t="str">
            <v>ISF3.8</v>
          </cell>
          <cell r="E2253" t="str">
            <v>出水连接件</v>
          </cell>
          <cell r="F2253">
            <v>19.998</v>
          </cell>
        </row>
        <row r="2254">
          <cell r="B2254">
            <v>5263134</v>
          </cell>
        </row>
        <row r="2254">
          <cell r="D2254" t="str">
            <v>ISF2.8</v>
          </cell>
          <cell r="E2254" t="str">
            <v>出水连接件</v>
          </cell>
          <cell r="F2254">
            <v>19.14</v>
          </cell>
        </row>
        <row r="2255">
          <cell r="B2255">
            <v>5581925</v>
          </cell>
        </row>
        <row r="2255">
          <cell r="D2255">
            <v>0</v>
          </cell>
          <cell r="E2255" t="str">
            <v>出水口连接</v>
          </cell>
          <cell r="F2255">
            <v>474.69</v>
          </cell>
        </row>
        <row r="2256">
          <cell r="B2256">
            <v>5661986</v>
          </cell>
        </row>
        <row r="2256">
          <cell r="D2256">
            <v>0</v>
          </cell>
          <cell r="E2256" t="str">
            <v>出水口连接</v>
          </cell>
          <cell r="F2256">
            <v>427.81</v>
          </cell>
        </row>
        <row r="2257">
          <cell r="B2257">
            <v>5667828</v>
          </cell>
        </row>
        <row r="2257">
          <cell r="D2257">
            <v>0</v>
          </cell>
          <cell r="E2257" t="str">
            <v>出水管</v>
          </cell>
          <cell r="F2257">
            <v>275.56</v>
          </cell>
        </row>
        <row r="2258">
          <cell r="B2258">
            <v>3697186</v>
          </cell>
        </row>
        <row r="2258">
          <cell r="D2258">
            <v>0</v>
          </cell>
          <cell r="E2258" t="str">
            <v>出水管</v>
          </cell>
          <cell r="F2258">
            <v>148.43</v>
          </cell>
        </row>
        <row r="2259">
          <cell r="B2259">
            <v>3697185</v>
          </cell>
        </row>
        <row r="2259">
          <cell r="D2259">
            <v>0</v>
          </cell>
          <cell r="E2259" t="str">
            <v>出水管</v>
          </cell>
          <cell r="F2259">
            <v>147.72</v>
          </cell>
        </row>
        <row r="2260">
          <cell r="B2260">
            <v>5690087</v>
          </cell>
        </row>
        <row r="2260">
          <cell r="D2260">
            <v>0</v>
          </cell>
          <cell r="E2260" t="str">
            <v>出水管</v>
          </cell>
          <cell r="F2260">
            <v>93.08</v>
          </cell>
        </row>
        <row r="2261">
          <cell r="B2261">
            <v>5667264</v>
          </cell>
        </row>
        <row r="2261">
          <cell r="D2261">
            <v>0</v>
          </cell>
          <cell r="E2261" t="str">
            <v>出水管</v>
          </cell>
          <cell r="F2261">
            <v>72.29</v>
          </cell>
        </row>
        <row r="2262">
          <cell r="B2262">
            <v>5368250</v>
          </cell>
        </row>
        <row r="2262">
          <cell r="D2262">
            <v>0</v>
          </cell>
          <cell r="E2262" t="str">
            <v>出水管</v>
          </cell>
          <cell r="F2262">
            <v>55.5</v>
          </cell>
        </row>
        <row r="2263">
          <cell r="B2263">
            <v>5584458</v>
          </cell>
        </row>
        <row r="2263">
          <cell r="D2263" t="str">
            <v>ISF2.8</v>
          </cell>
          <cell r="E2263" t="str">
            <v>出水管</v>
          </cell>
          <cell r="F2263">
            <v>48.2715</v>
          </cell>
        </row>
        <row r="2264">
          <cell r="B2264">
            <v>5561538</v>
          </cell>
        </row>
        <row r="2264">
          <cell r="D2264" t="str">
            <v>ISF2.8</v>
          </cell>
          <cell r="E2264" t="str">
            <v>齿轮室密封垫</v>
          </cell>
          <cell r="F2264">
            <v>54.7893</v>
          </cell>
        </row>
        <row r="2265">
          <cell r="B2265">
            <v>5478382</v>
          </cell>
        </row>
        <row r="2265">
          <cell r="D2265" t="str">
            <v>ISF2.8</v>
          </cell>
          <cell r="E2265" t="str">
            <v>齿轮室密封垫</v>
          </cell>
          <cell r="F2265">
            <v>22.96</v>
          </cell>
        </row>
        <row r="2266">
          <cell r="B2266">
            <v>5361694</v>
          </cell>
          <cell r="C2266" t="str">
            <v>5264477/5448201</v>
          </cell>
          <cell r="D2266" t="str">
            <v>ISF2.8</v>
          </cell>
          <cell r="E2266" t="str">
            <v>齿轮室密封垫</v>
          </cell>
          <cell r="F2266">
            <v>21.6954</v>
          </cell>
        </row>
        <row r="2267">
          <cell r="B2267">
            <v>5296541</v>
          </cell>
        </row>
        <row r="2267">
          <cell r="D2267">
            <v>0</v>
          </cell>
          <cell r="E2267" t="str">
            <v>齿轮室</v>
          </cell>
          <cell r="F2267">
            <v>677.4</v>
          </cell>
        </row>
        <row r="2268">
          <cell r="B2268">
            <v>5285965</v>
          </cell>
          <cell r="C2268">
            <v>5285966</v>
          </cell>
          <cell r="D2268">
            <v>0</v>
          </cell>
          <cell r="E2268" t="str">
            <v>齿轮室</v>
          </cell>
          <cell r="F2268">
            <v>387.43</v>
          </cell>
        </row>
        <row r="2269">
          <cell r="B2269">
            <v>5282988</v>
          </cell>
        </row>
        <row r="2269">
          <cell r="D2269" t="str">
            <v>ISF3.8</v>
          </cell>
          <cell r="E2269" t="str">
            <v>齿轮室</v>
          </cell>
          <cell r="F2269">
            <v>384.43</v>
          </cell>
        </row>
        <row r="2270">
          <cell r="B2270">
            <v>5274915</v>
          </cell>
        </row>
        <row r="2270">
          <cell r="D2270">
            <v>0</v>
          </cell>
          <cell r="E2270" t="str">
            <v>齿轮室</v>
          </cell>
          <cell r="F2270">
            <v>383.5098</v>
          </cell>
        </row>
        <row r="2271">
          <cell r="B2271">
            <v>5361695</v>
          </cell>
          <cell r="C2271">
            <v>5302852</v>
          </cell>
          <cell r="D2271" t="str">
            <v>ISF2.8</v>
          </cell>
          <cell r="E2271" t="str">
            <v>齿轮室</v>
          </cell>
          <cell r="F2271">
            <v>181.2285</v>
          </cell>
        </row>
        <row r="2272">
          <cell r="B2272">
            <v>3697334</v>
          </cell>
        </row>
        <row r="2272">
          <cell r="D2272">
            <v>0</v>
          </cell>
          <cell r="E2272" t="str">
            <v>齿轮固定器</v>
          </cell>
          <cell r="F2272">
            <v>118.4</v>
          </cell>
        </row>
        <row r="2273">
          <cell r="B2273">
            <v>3695590</v>
          </cell>
        </row>
        <row r="2273">
          <cell r="D2273">
            <v>0</v>
          </cell>
          <cell r="E2273" t="str">
            <v>齿轮固定器</v>
          </cell>
          <cell r="F2273">
            <v>22.99</v>
          </cell>
        </row>
        <row r="2274">
          <cell r="B2274">
            <v>3695591</v>
          </cell>
        </row>
        <row r="2274">
          <cell r="D2274">
            <v>0</v>
          </cell>
          <cell r="E2274" t="str">
            <v>齿轮固定器</v>
          </cell>
          <cell r="F2274">
            <v>22.99</v>
          </cell>
        </row>
        <row r="2275">
          <cell r="B2275">
            <v>5262662</v>
          </cell>
        </row>
        <row r="2275">
          <cell r="D2275">
            <v>0</v>
          </cell>
          <cell r="E2275" t="str">
            <v>齿轮固定器</v>
          </cell>
          <cell r="F2275">
            <v>4.29</v>
          </cell>
        </row>
        <row r="2276">
          <cell r="B2276">
            <v>5262663</v>
          </cell>
        </row>
        <row r="2276">
          <cell r="D2276">
            <v>0</v>
          </cell>
          <cell r="E2276" t="str">
            <v>齿轮固定器</v>
          </cell>
          <cell r="F2276">
            <v>4.07</v>
          </cell>
        </row>
        <row r="2277">
          <cell r="B2277">
            <v>5682146</v>
          </cell>
        </row>
        <row r="2277">
          <cell r="D2277">
            <v>0</v>
          </cell>
          <cell r="E2277" t="str">
            <v>成型管</v>
          </cell>
          <cell r="F2277">
            <v>183.05</v>
          </cell>
        </row>
        <row r="2278">
          <cell r="B2278">
            <v>5417179</v>
          </cell>
        </row>
        <row r="2278">
          <cell r="D2278">
            <v>0</v>
          </cell>
          <cell r="E2278" t="str">
            <v>成型管</v>
          </cell>
          <cell r="F2278">
            <v>176.7</v>
          </cell>
        </row>
        <row r="2279">
          <cell r="B2279">
            <v>5582653</v>
          </cell>
        </row>
        <row r="2279">
          <cell r="D2279">
            <v>0</v>
          </cell>
          <cell r="E2279" t="str">
            <v>成型管</v>
          </cell>
          <cell r="F2279">
            <v>152.67</v>
          </cell>
        </row>
        <row r="2280">
          <cell r="B2280">
            <v>5575155</v>
          </cell>
        </row>
        <row r="2280">
          <cell r="D2280">
            <v>0</v>
          </cell>
          <cell r="E2280" t="str">
            <v>成型管</v>
          </cell>
          <cell r="F2280">
            <v>147.2</v>
          </cell>
        </row>
        <row r="2281">
          <cell r="B2281">
            <v>5371600</v>
          </cell>
        </row>
        <row r="2281">
          <cell r="D2281">
            <v>0</v>
          </cell>
          <cell r="E2281" t="str">
            <v>成型管</v>
          </cell>
          <cell r="F2281">
            <v>135.24</v>
          </cell>
        </row>
        <row r="2282">
          <cell r="B2282">
            <v>5613813</v>
          </cell>
        </row>
        <row r="2282">
          <cell r="D2282">
            <v>0</v>
          </cell>
          <cell r="E2282" t="str">
            <v>成型管</v>
          </cell>
          <cell r="F2282">
            <v>160.8336</v>
          </cell>
        </row>
        <row r="2283">
          <cell r="B2283">
            <v>5584692</v>
          </cell>
        </row>
        <row r="2283">
          <cell r="D2283">
            <v>0</v>
          </cell>
          <cell r="E2283" t="str">
            <v>成型管</v>
          </cell>
          <cell r="F2283">
            <v>106.2738</v>
          </cell>
        </row>
        <row r="2284">
          <cell r="B2284">
            <v>5661467</v>
          </cell>
        </row>
        <row r="2284">
          <cell r="D2284">
            <v>0</v>
          </cell>
          <cell r="E2284" t="str">
            <v>成型管</v>
          </cell>
          <cell r="F2284">
            <v>102.46</v>
          </cell>
        </row>
        <row r="2285">
          <cell r="B2285">
            <v>5336089</v>
          </cell>
        </row>
        <row r="2285">
          <cell r="D2285">
            <v>0</v>
          </cell>
          <cell r="E2285" t="str">
            <v>成型管</v>
          </cell>
          <cell r="F2285">
            <v>98.67</v>
          </cell>
        </row>
        <row r="2286">
          <cell r="B2286">
            <v>3698388</v>
          </cell>
        </row>
        <row r="2286">
          <cell r="D2286">
            <v>0</v>
          </cell>
          <cell r="E2286" t="str">
            <v>成型管</v>
          </cell>
          <cell r="F2286">
            <v>117.6417</v>
          </cell>
        </row>
        <row r="2287">
          <cell r="B2287">
            <v>5661468</v>
          </cell>
        </row>
        <row r="2287">
          <cell r="D2287">
            <v>0</v>
          </cell>
          <cell r="E2287" t="str">
            <v>成型管</v>
          </cell>
          <cell r="F2287">
            <v>76.81</v>
          </cell>
        </row>
        <row r="2288">
          <cell r="B2288">
            <v>5661812</v>
          </cell>
        </row>
        <row r="2288">
          <cell r="D2288">
            <v>0</v>
          </cell>
          <cell r="E2288" t="str">
            <v>成型管</v>
          </cell>
          <cell r="F2288">
            <v>72.29</v>
          </cell>
        </row>
        <row r="2289">
          <cell r="B2289">
            <v>5485451</v>
          </cell>
        </row>
        <row r="2289">
          <cell r="D2289">
            <v>0</v>
          </cell>
          <cell r="E2289" t="str">
            <v>成型管</v>
          </cell>
          <cell r="F2289">
            <v>70.8</v>
          </cell>
        </row>
        <row r="2290">
          <cell r="B2290">
            <v>5665218</v>
          </cell>
        </row>
        <row r="2290">
          <cell r="D2290">
            <v>0</v>
          </cell>
          <cell r="E2290" t="str">
            <v>成型管</v>
          </cell>
          <cell r="F2290">
            <v>65.55</v>
          </cell>
        </row>
        <row r="2291">
          <cell r="B2291">
            <v>5296568</v>
          </cell>
        </row>
        <row r="2291">
          <cell r="D2291">
            <v>0</v>
          </cell>
          <cell r="E2291" t="str">
            <v>成型管</v>
          </cell>
          <cell r="F2291">
            <v>59.7159</v>
          </cell>
        </row>
        <row r="2292">
          <cell r="B2292">
            <v>5662224</v>
          </cell>
        </row>
        <row r="2292">
          <cell r="D2292">
            <v>0</v>
          </cell>
          <cell r="E2292" t="str">
            <v>成型管</v>
          </cell>
          <cell r="F2292">
            <v>45.3</v>
          </cell>
        </row>
        <row r="2293">
          <cell r="B2293">
            <v>5287704</v>
          </cell>
        </row>
        <row r="2293">
          <cell r="D2293">
            <v>0</v>
          </cell>
          <cell r="E2293" t="str">
            <v>成型管</v>
          </cell>
          <cell r="F2293">
            <v>43.0389</v>
          </cell>
        </row>
        <row r="2294">
          <cell r="B2294">
            <v>5520829</v>
          </cell>
        </row>
        <row r="2294">
          <cell r="D2294">
            <v>0</v>
          </cell>
          <cell r="E2294" t="str">
            <v>成型管</v>
          </cell>
          <cell r="F2294">
            <v>36.8424</v>
          </cell>
        </row>
        <row r="2295">
          <cell r="B2295">
            <v>5361636</v>
          </cell>
        </row>
        <row r="2295">
          <cell r="D2295">
            <v>0</v>
          </cell>
          <cell r="E2295" t="str">
            <v>成型管</v>
          </cell>
          <cell r="F2295">
            <v>33.2622</v>
          </cell>
        </row>
        <row r="2296">
          <cell r="B2296">
            <v>5289861</v>
          </cell>
        </row>
        <row r="2296">
          <cell r="D2296" t="str">
            <v>ISF2.8</v>
          </cell>
          <cell r="E2296" t="str">
            <v>成型管</v>
          </cell>
          <cell r="F2296">
            <v>32.9562</v>
          </cell>
        </row>
        <row r="2297">
          <cell r="B2297">
            <v>5446918</v>
          </cell>
        </row>
        <row r="2297">
          <cell r="D2297">
            <v>0</v>
          </cell>
          <cell r="E2297" t="str">
            <v>成型管</v>
          </cell>
          <cell r="F2297">
            <v>32.06</v>
          </cell>
        </row>
        <row r="2298">
          <cell r="B2298">
            <v>5292429</v>
          </cell>
        </row>
        <row r="2298">
          <cell r="D2298">
            <v>0</v>
          </cell>
          <cell r="E2298" t="str">
            <v>成型管</v>
          </cell>
          <cell r="F2298">
            <v>31.75</v>
          </cell>
        </row>
        <row r="2299">
          <cell r="B2299">
            <v>5361635</v>
          </cell>
        </row>
        <row r="2299">
          <cell r="D2299">
            <v>0</v>
          </cell>
          <cell r="E2299" t="str">
            <v>成型管</v>
          </cell>
          <cell r="F2299">
            <v>28.1673</v>
          </cell>
        </row>
        <row r="2300">
          <cell r="B2300">
            <v>5317266</v>
          </cell>
        </row>
        <row r="2300">
          <cell r="D2300" t="str">
            <v>ISF3.8</v>
          </cell>
          <cell r="E2300" t="str">
            <v>成型管</v>
          </cell>
          <cell r="F2300">
            <v>27.54</v>
          </cell>
        </row>
        <row r="2301">
          <cell r="B2301">
            <v>5614917</v>
          </cell>
        </row>
        <row r="2301">
          <cell r="D2301">
            <v>0</v>
          </cell>
          <cell r="E2301" t="str">
            <v>成型管</v>
          </cell>
          <cell r="F2301">
            <v>23.28</v>
          </cell>
        </row>
        <row r="2302">
          <cell r="B2302">
            <v>5287753</v>
          </cell>
        </row>
        <row r="2302">
          <cell r="D2302">
            <v>0</v>
          </cell>
          <cell r="E2302" t="str">
            <v>成型管</v>
          </cell>
          <cell r="F2302">
            <v>19.73</v>
          </cell>
        </row>
        <row r="2303">
          <cell r="B2303">
            <v>5289856</v>
          </cell>
        </row>
        <row r="2303">
          <cell r="D2303">
            <v>0</v>
          </cell>
          <cell r="E2303" t="str">
            <v>成型管</v>
          </cell>
          <cell r="F2303">
            <v>19.19</v>
          </cell>
        </row>
        <row r="2304">
          <cell r="B2304">
            <v>5667146</v>
          </cell>
        </row>
        <row r="2304">
          <cell r="D2304">
            <v>0</v>
          </cell>
          <cell r="E2304" t="str">
            <v>成型管</v>
          </cell>
          <cell r="F2304">
            <v>19.09</v>
          </cell>
        </row>
        <row r="2305">
          <cell r="B2305">
            <v>5289860</v>
          </cell>
        </row>
        <row r="2305">
          <cell r="D2305">
            <v>0</v>
          </cell>
          <cell r="E2305" t="str">
            <v>成型管</v>
          </cell>
          <cell r="F2305">
            <v>19.94</v>
          </cell>
        </row>
        <row r="2306">
          <cell r="B2306">
            <v>5289858</v>
          </cell>
        </row>
        <row r="2306">
          <cell r="D2306">
            <v>0</v>
          </cell>
          <cell r="E2306" t="str">
            <v>成型管</v>
          </cell>
          <cell r="F2306">
            <v>18.32</v>
          </cell>
        </row>
        <row r="2307">
          <cell r="B2307">
            <v>5289859</v>
          </cell>
        </row>
        <row r="2307">
          <cell r="D2307">
            <v>0</v>
          </cell>
          <cell r="E2307" t="str">
            <v>成型管</v>
          </cell>
          <cell r="F2307">
            <v>10.92</v>
          </cell>
        </row>
        <row r="2308">
          <cell r="B2308">
            <v>5298256</v>
          </cell>
        </row>
        <row r="2308">
          <cell r="D2308" t="str">
            <v>ISF3.8</v>
          </cell>
          <cell r="E2308" t="str">
            <v>衬套</v>
          </cell>
          <cell r="F2308">
            <v>16.8</v>
          </cell>
        </row>
        <row r="2309">
          <cell r="B2309">
            <v>4995863</v>
          </cell>
        </row>
        <row r="2309">
          <cell r="D2309" t="str">
            <v>ISF2.8</v>
          </cell>
          <cell r="E2309" t="str">
            <v>衬套</v>
          </cell>
          <cell r="F2309">
            <v>8.93</v>
          </cell>
        </row>
        <row r="2310">
          <cell r="B2310">
            <v>5294399</v>
          </cell>
        </row>
        <row r="2310">
          <cell r="D2310">
            <v>0</v>
          </cell>
          <cell r="E2310" t="str">
            <v>衬套</v>
          </cell>
          <cell r="F2310">
            <v>2.63</v>
          </cell>
        </row>
        <row r="2311">
          <cell r="B2311" t="str">
            <v>FP1110210001A0A2076</v>
          </cell>
          <cell r="C2311" t="str">
            <v>5297619/5274913</v>
          </cell>
          <cell r="D2311" t="str">
            <v>ISF2.8</v>
          </cell>
          <cell r="E2311" t="str">
            <v>柴油滤清器总成5283172</v>
          </cell>
          <cell r="F2311">
            <v>388.8</v>
          </cell>
        </row>
        <row r="2312">
          <cell r="B2312" t="str">
            <v>S5262311A2076</v>
          </cell>
          <cell r="C2312" t="str">
            <v>FF5706</v>
          </cell>
          <cell r="D2312" t="str">
            <v>ISF3.8</v>
          </cell>
          <cell r="E2312" t="str">
            <v>柴滤芯</v>
          </cell>
          <cell r="F2312">
            <v>97.72</v>
          </cell>
        </row>
        <row r="2313">
          <cell r="B2313">
            <v>3686752</v>
          </cell>
        </row>
        <row r="2313">
          <cell r="D2313">
            <v>0</v>
          </cell>
          <cell r="E2313" t="str">
            <v>波纹管</v>
          </cell>
          <cell r="F2313">
            <v>469.48</v>
          </cell>
        </row>
        <row r="2314">
          <cell r="B2314">
            <v>5581730</v>
          </cell>
        </row>
        <row r="2314">
          <cell r="D2314">
            <v>0</v>
          </cell>
          <cell r="E2314" t="str">
            <v>波纹管</v>
          </cell>
          <cell r="F2314">
            <v>148.2264</v>
          </cell>
        </row>
        <row r="2315">
          <cell r="B2315">
            <v>3967353</v>
          </cell>
        </row>
        <row r="2315">
          <cell r="D2315">
            <v>0</v>
          </cell>
          <cell r="E2315" t="str">
            <v>标签</v>
          </cell>
          <cell r="F2315">
            <v>0.71</v>
          </cell>
        </row>
        <row r="2316">
          <cell r="B2316">
            <v>5305257</v>
          </cell>
        </row>
        <row r="2316">
          <cell r="D2316" t="str">
            <v>ISF2.8</v>
          </cell>
          <cell r="E2316" t="str">
            <v>保持架</v>
          </cell>
          <cell r="F2316">
            <v>5.4</v>
          </cell>
        </row>
        <row r="2317">
          <cell r="B2317">
            <v>5313844</v>
          </cell>
          <cell r="C2317">
            <v>4896355</v>
          </cell>
          <cell r="D2317">
            <v>0</v>
          </cell>
          <cell r="E2317" t="str">
            <v>保持架</v>
          </cell>
          <cell r="F2317">
            <v>2.64</v>
          </cell>
        </row>
        <row r="2318">
          <cell r="B2318">
            <v>5295043</v>
          </cell>
        </row>
        <row r="2318">
          <cell r="D2318" t="str">
            <v>ISF4.5</v>
          </cell>
          <cell r="E2318" t="str">
            <v>安装隔块</v>
          </cell>
          <cell r="F2318">
            <v>34.26</v>
          </cell>
        </row>
        <row r="2319">
          <cell r="B2319">
            <v>3974163</v>
          </cell>
        </row>
        <row r="2319">
          <cell r="D2319" t="str">
            <v>ISF2.8</v>
          </cell>
          <cell r="E2319" t="str">
            <v>安装隔块</v>
          </cell>
          <cell r="F2319">
            <v>10.25</v>
          </cell>
        </row>
        <row r="2320">
          <cell r="B2320">
            <v>3696530</v>
          </cell>
        </row>
        <row r="2320">
          <cell r="D2320">
            <v>0</v>
          </cell>
          <cell r="E2320" t="str">
            <v>安装隔块</v>
          </cell>
          <cell r="F2320">
            <v>13.3</v>
          </cell>
        </row>
        <row r="2321">
          <cell r="B2321">
            <v>5305258</v>
          </cell>
        </row>
        <row r="2321">
          <cell r="D2321" t="str">
            <v>ISF2.8</v>
          </cell>
          <cell r="E2321" t="str">
            <v>安装隔块</v>
          </cell>
          <cell r="F2321">
            <v>8</v>
          </cell>
        </row>
        <row r="2322">
          <cell r="B2322">
            <v>3968706</v>
          </cell>
        </row>
        <row r="2322">
          <cell r="D2322" t="str">
            <v>ISF2.8</v>
          </cell>
          <cell r="E2322" t="str">
            <v>安装隔块</v>
          </cell>
          <cell r="F2322">
            <v>6.68</v>
          </cell>
        </row>
        <row r="2323">
          <cell r="B2323">
            <v>5296985</v>
          </cell>
        </row>
        <row r="2323">
          <cell r="D2323" t="str">
            <v>ISF3.8</v>
          </cell>
          <cell r="E2323" t="str">
            <v>安装隔块</v>
          </cell>
          <cell r="F2323">
            <v>5.04</v>
          </cell>
        </row>
        <row r="2324">
          <cell r="B2324">
            <v>5537366</v>
          </cell>
        </row>
        <row r="2324">
          <cell r="D2324">
            <v>0</v>
          </cell>
          <cell r="E2324" t="str">
            <v>安装隔块</v>
          </cell>
          <cell r="F2324">
            <v>4.58</v>
          </cell>
        </row>
        <row r="2325">
          <cell r="B2325">
            <v>5287640</v>
          </cell>
        </row>
        <row r="2325">
          <cell r="D2325" t="str">
            <v>ISF2.8</v>
          </cell>
          <cell r="E2325" t="str">
            <v>安装隔块</v>
          </cell>
          <cell r="F2325">
            <v>3.27</v>
          </cell>
        </row>
        <row r="2326">
          <cell r="B2326">
            <v>3945252</v>
          </cell>
        </row>
        <row r="2326">
          <cell r="D2326" t="str">
            <v>ISF3.8</v>
          </cell>
          <cell r="E2326" t="str">
            <v>安装隔块</v>
          </cell>
          <cell r="F2326">
            <v>4.8</v>
          </cell>
        </row>
        <row r="2327">
          <cell r="B2327">
            <v>5255567</v>
          </cell>
        </row>
        <row r="2327">
          <cell r="D2327" t="str">
            <v>ISF2.8</v>
          </cell>
          <cell r="E2327" t="str">
            <v>安装隔块</v>
          </cell>
          <cell r="F2327">
            <v>2.9</v>
          </cell>
        </row>
        <row r="2328">
          <cell r="B2328">
            <v>5283162</v>
          </cell>
        </row>
        <row r="2328">
          <cell r="D2328">
            <v>0</v>
          </cell>
          <cell r="E2328" t="str">
            <v>安全警示贴</v>
          </cell>
          <cell r="F2328">
            <v>2.16</v>
          </cell>
        </row>
        <row r="2329">
          <cell r="B2329">
            <v>5254354</v>
          </cell>
          <cell r="C2329" t="str">
            <v>8PK2609</v>
          </cell>
          <cell r="D2329" t="str">
            <v>ISF2.8</v>
          </cell>
          <cell r="E2329" t="str">
            <v>V型皮带</v>
          </cell>
          <cell r="F2329">
            <v>96.51</v>
          </cell>
        </row>
        <row r="2330">
          <cell r="B2330">
            <v>5347150</v>
          </cell>
        </row>
        <row r="2330">
          <cell r="D2330" t="str">
            <v>ISF3.8</v>
          </cell>
          <cell r="E2330" t="str">
            <v>V型皮带</v>
          </cell>
          <cell r="F2330">
            <v>93.42</v>
          </cell>
        </row>
        <row r="2331">
          <cell r="B2331">
            <v>3694334</v>
          </cell>
        </row>
        <row r="2331">
          <cell r="D2331">
            <v>0</v>
          </cell>
          <cell r="E2331" t="str">
            <v>V型皮带</v>
          </cell>
          <cell r="F2331">
            <v>81.66</v>
          </cell>
        </row>
        <row r="2332">
          <cell r="B2332">
            <v>5486129</v>
          </cell>
        </row>
        <row r="2332">
          <cell r="D2332">
            <v>0</v>
          </cell>
          <cell r="E2332" t="str">
            <v>V型皮带</v>
          </cell>
          <cell r="F2332">
            <v>42.79</v>
          </cell>
        </row>
        <row r="2333">
          <cell r="B2333">
            <v>5269284</v>
          </cell>
        </row>
        <row r="2333">
          <cell r="D2333" t="str">
            <v>ISF3.8</v>
          </cell>
          <cell r="E2333" t="str">
            <v>V型卡箍(国四康瑞H3)</v>
          </cell>
          <cell r="F2333">
            <v>25.29</v>
          </cell>
        </row>
        <row r="2334">
          <cell r="B2334">
            <v>3101325</v>
          </cell>
        </row>
        <row r="2334">
          <cell r="D2334">
            <v>0</v>
          </cell>
          <cell r="E2334" t="str">
            <v>V型卡箍</v>
          </cell>
          <cell r="F2334">
            <v>92.95</v>
          </cell>
        </row>
        <row r="2335">
          <cell r="B2335">
            <v>3684417</v>
          </cell>
        </row>
        <row r="2335">
          <cell r="D2335">
            <v>0</v>
          </cell>
          <cell r="E2335" t="str">
            <v>V型卡箍</v>
          </cell>
          <cell r="F2335">
            <v>58.28</v>
          </cell>
        </row>
        <row r="2336">
          <cell r="B2336">
            <v>5547648</v>
          </cell>
        </row>
        <row r="2336">
          <cell r="D2336">
            <v>0</v>
          </cell>
          <cell r="E2336" t="str">
            <v>V型卡箍</v>
          </cell>
          <cell r="F2336">
            <v>56.99</v>
          </cell>
        </row>
        <row r="2337">
          <cell r="B2337">
            <v>3698041</v>
          </cell>
        </row>
        <row r="2337">
          <cell r="D2337" t="str">
            <v>ISG</v>
          </cell>
          <cell r="E2337" t="str">
            <v>V型卡箍</v>
          </cell>
          <cell r="F2337">
            <v>38.78</v>
          </cell>
        </row>
        <row r="2338">
          <cell r="B2338">
            <v>3903652</v>
          </cell>
        </row>
        <row r="2338">
          <cell r="D2338" t="str">
            <v>ISF2.8/3.8</v>
          </cell>
          <cell r="E2338" t="str">
            <v>V型卡箍</v>
          </cell>
          <cell r="F2338">
            <v>28.98</v>
          </cell>
        </row>
        <row r="2339">
          <cell r="B2339">
            <v>4898590</v>
          </cell>
        </row>
        <row r="2339">
          <cell r="D2339" t="str">
            <v>ISF2.8/3.8</v>
          </cell>
          <cell r="E2339" t="str">
            <v>V型卡箍</v>
          </cell>
          <cell r="F2339">
            <v>30.28</v>
          </cell>
        </row>
        <row r="2340">
          <cell r="B2340">
            <v>5591669</v>
          </cell>
        </row>
        <row r="2340">
          <cell r="D2340">
            <v>0</v>
          </cell>
          <cell r="E2340" t="str">
            <v>V型卡箍</v>
          </cell>
          <cell r="F2340">
            <v>33.2928</v>
          </cell>
        </row>
        <row r="2341">
          <cell r="B2341">
            <v>3691139</v>
          </cell>
        </row>
        <row r="2341">
          <cell r="D2341" t="str">
            <v>ISF2.8</v>
          </cell>
          <cell r="E2341" t="str">
            <v>V型卡箍</v>
          </cell>
          <cell r="F2341">
            <v>29.2536</v>
          </cell>
        </row>
        <row r="2342">
          <cell r="B2342">
            <v>5361109</v>
          </cell>
        </row>
        <row r="2342">
          <cell r="D2342" t="str">
            <v>ISF2.8</v>
          </cell>
          <cell r="E2342" t="str">
            <v>V型卡箍</v>
          </cell>
          <cell r="F2342">
            <v>19.9818</v>
          </cell>
        </row>
        <row r="2343">
          <cell r="B2343">
            <v>3978291</v>
          </cell>
        </row>
        <row r="2343">
          <cell r="D2343">
            <v>0</v>
          </cell>
          <cell r="E2343" t="str">
            <v>V型多楔带</v>
          </cell>
          <cell r="F2343">
            <v>155.2032</v>
          </cell>
        </row>
        <row r="2344">
          <cell r="B2344">
            <v>5319731</v>
          </cell>
        </row>
        <row r="2344">
          <cell r="D2344" t="str">
            <v>ISF2.8</v>
          </cell>
          <cell r="E2344" t="str">
            <v>V型多楔带</v>
          </cell>
          <cell r="F2344">
            <v>93.0546</v>
          </cell>
        </row>
        <row r="2345">
          <cell r="B2345">
            <v>3972382</v>
          </cell>
        </row>
        <row r="2345">
          <cell r="D2345" t="str">
            <v>ISF3.8</v>
          </cell>
          <cell r="E2345" t="str">
            <v>V型多楔带</v>
          </cell>
          <cell r="F2345">
            <v>88.992</v>
          </cell>
        </row>
        <row r="2346">
          <cell r="B2346">
            <v>5283608</v>
          </cell>
        </row>
        <row r="2346">
          <cell r="D2346" t="str">
            <v>ISF3.8</v>
          </cell>
          <cell r="E2346" t="str">
            <v>V型多楔带</v>
          </cell>
          <cell r="F2346">
            <v>91.7388</v>
          </cell>
        </row>
        <row r="2347">
          <cell r="B2347">
            <v>5344170</v>
          </cell>
        </row>
        <row r="2347">
          <cell r="D2347" t="str">
            <v>ISF2.8</v>
          </cell>
          <cell r="E2347" t="str">
            <v>V型多楔带</v>
          </cell>
          <cell r="F2347">
            <v>89.0001</v>
          </cell>
        </row>
        <row r="2348">
          <cell r="B2348">
            <v>5564865</v>
          </cell>
          <cell r="C2348" t="str">
            <v>5271441/8PK2510</v>
          </cell>
          <cell r="D2348" t="str">
            <v>ISF2.8</v>
          </cell>
          <cell r="E2348" t="str">
            <v>V型多楔带</v>
          </cell>
          <cell r="F2348">
            <v>85.15</v>
          </cell>
        </row>
        <row r="2349">
          <cell r="B2349">
            <v>3972379</v>
          </cell>
        </row>
        <row r="2349">
          <cell r="D2349" t="str">
            <v>ISF2.8</v>
          </cell>
          <cell r="E2349" t="str">
            <v>V型多楔带</v>
          </cell>
          <cell r="F2349">
            <v>83.5686</v>
          </cell>
        </row>
        <row r="2350">
          <cell r="B2350">
            <v>3974030</v>
          </cell>
        </row>
        <row r="2350">
          <cell r="D2350" t="str">
            <v>ISF3.8</v>
          </cell>
          <cell r="E2350" t="str">
            <v>V型多楔带</v>
          </cell>
          <cell r="F2350">
            <v>81.0747</v>
          </cell>
        </row>
        <row r="2351">
          <cell r="B2351">
            <v>5565188</v>
          </cell>
        </row>
        <row r="2351">
          <cell r="D2351" t="str">
            <v>ISF2.8</v>
          </cell>
          <cell r="E2351" t="str">
            <v>V型多楔带</v>
          </cell>
          <cell r="F2351">
            <v>79.0551</v>
          </cell>
        </row>
        <row r="2352">
          <cell r="B2352">
            <v>3289897</v>
          </cell>
        </row>
        <row r="2352">
          <cell r="D2352">
            <v>0</v>
          </cell>
          <cell r="E2352" t="str">
            <v>V型多楔带</v>
          </cell>
          <cell r="F2352">
            <v>76.959</v>
          </cell>
        </row>
        <row r="2353">
          <cell r="B2353">
            <v>5312821</v>
          </cell>
        </row>
        <row r="2353">
          <cell r="D2353" t="str">
            <v>ISF2.8/3.8</v>
          </cell>
          <cell r="E2353" t="str">
            <v>V型多楔带</v>
          </cell>
          <cell r="F2353">
            <v>76.6071</v>
          </cell>
        </row>
        <row r="2354">
          <cell r="B2354">
            <v>3972384</v>
          </cell>
        </row>
        <row r="2354">
          <cell r="D2354" t="str">
            <v>ISF3.8</v>
          </cell>
          <cell r="E2354" t="str">
            <v>V型多楔带</v>
          </cell>
          <cell r="F2354">
            <v>71.0379</v>
          </cell>
        </row>
        <row r="2355">
          <cell r="B2355">
            <v>3697444</v>
          </cell>
        </row>
        <row r="2355">
          <cell r="D2355">
            <v>0</v>
          </cell>
          <cell r="E2355" t="str">
            <v>V型多楔带</v>
          </cell>
          <cell r="F2355">
            <v>50.97</v>
          </cell>
        </row>
        <row r="2356">
          <cell r="B2356">
            <v>5344171</v>
          </cell>
        </row>
        <row r="2356">
          <cell r="D2356">
            <v>0</v>
          </cell>
          <cell r="E2356" t="str">
            <v>V型多楔带</v>
          </cell>
          <cell r="F2356">
            <v>33.3387</v>
          </cell>
        </row>
        <row r="2357">
          <cell r="B2357">
            <v>5349889</v>
          </cell>
        </row>
        <row r="2357">
          <cell r="D2357" t="str">
            <v>ISF2.8</v>
          </cell>
          <cell r="E2357" t="str">
            <v>V型多楔带</v>
          </cell>
          <cell r="F2357">
            <v>32.742</v>
          </cell>
        </row>
        <row r="2358">
          <cell r="B2358">
            <v>5664627</v>
          </cell>
        </row>
        <row r="2358">
          <cell r="D2358">
            <v>0</v>
          </cell>
          <cell r="E2358" t="str">
            <v>V带夹</v>
          </cell>
          <cell r="F2358">
            <v>144.99</v>
          </cell>
        </row>
        <row r="2359">
          <cell r="B2359">
            <v>5557859</v>
          </cell>
        </row>
        <row r="2359">
          <cell r="D2359" t="str">
            <v>ISG</v>
          </cell>
          <cell r="E2359" t="str">
            <v>T形螺栓卡箍</v>
          </cell>
          <cell r="F2359">
            <v>11.17</v>
          </cell>
        </row>
        <row r="2360">
          <cell r="B2360">
            <v>5537190</v>
          </cell>
        </row>
        <row r="2360">
          <cell r="D2360" t="str">
            <v>ISG</v>
          </cell>
          <cell r="E2360" t="str">
            <v>T形螺栓卡箍</v>
          </cell>
          <cell r="F2360">
            <v>17.1</v>
          </cell>
        </row>
        <row r="2361">
          <cell r="B2361">
            <v>5688648</v>
          </cell>
        </row>
        <row r="2361">
          <cell r="D2361">
            <v>0</v>
          </cell>
          <cell r="E2361" t="str">
            <v>SPL防松螺母（M10）</v>
          </cell>
          <cell r="F2361">
            <v>8.68</v>
          </cell>
        </row>
        <row r="2362">
          <cell r="B2362">
            <v>5260019</v>
          </cell>
        </row>
        <row r="2362">
          <cell r="D2362" t="str">
            <v>ISF3.8</v>
          </cell>
          <cell r="E2362" t="str">
            <v>O型塞</v>
          </cell>
          <cell r="F2362">
            <v>45.3339</v>
          </cell>
        </row>
        <row r="2363">
          <cell r="B2363">
            <v>5537386</v>
          </cell>
        </row>
        <row r="2363">
          <cell r="D2363" t="str">
            <v>ISG</v>
          </cell>
          <cell r="E2363" t="str">
            <v>O型密封圈</v>
          </cell>
          <cell r="F2363">
            <v>129.1014</v>
          </cell>
        </row>
        <row r="2364">
          <cell r="B2364">
            <v>5288373</v>
          </cell>
        </row>
        <row r="2364">
          <cell r="D2364" t="str">
            <v>ISF3.8</v>
          </cell>
          <cell r="E2364" t="str">
            <v>O型密封圈</v>
          </cell>
          <cell r="F2364">
            <v>40.698</v>
          </cell>
        </row>
        <row r="2365">
          <cell r="B2365">
            <v>3696801</v>
          </cell>
        </row>
        <row r="2365">
          <cell r="D2365" t="str">
            <v>ISG</v>
          </cell>
          <cell r="E2365" t="str">
            <v>O型密封圈</v>
          </cell>
          <cell r="F2365">
            <v>43.299</v>
          </cell>
        </row>
        <row r="2366">
          <cell r="B2366">
            <v>5316040</v>
          </cell>
        </row>
        <row r="2366">
          <cell r="D2366" t="str">
            <v>ISF3.8</v>
          </cell>
          <cell r="E2366" t="str">
            <v>O型密封圈</v>
          </cell>
          <cell r="F2366">
            <v>36.3069</v>
          </cell>
        </row>
        <row r="2367">
          <cell r="B2367">
            <v>3947270</v>
          </cell>
        </row>
        <row r="2367">
          <cell r="D2367" t="str">
            <v>ISF3.8</v>
          </cell>
          <cell r="E2367" t="str">
            <v>O型密封圈</v>
          </cell>
          <cell r="F2367">
            <v>24.8319</v>
          </cell>
        </row>
        <row r="2368">
          <cell r="B2368">
            <v>3697683</v>
          </cell>
        </row>
        <row r="2368">
          <cell r="D2368" t="str">
            <v>ISG</v>
          </cell>
          <cell r="E2368" t="str">
            <v>O型密封圈</v>
          </cell>
          <cell r="F2368">
            <v>23.4702</v>
          </cell>
        </row>
        <row r="2369">
          <cell r="B2369">
            <v>3697435</v>
          </cell>
        </row>
        <row r="2369">
          <cell r="D2369" t="str">
            <v>ISG</v>
          </cell>
          <cell r="E2369" t="str">
            <v>O型密封圈</v>
          </cell>
          <cell r="F2369">
            <v>21.573</v>
          </cell>
        </row>
        <row r="2370">
          <cell r="B2370">
            <v>2887953</v>
          </cell>
        </row>
        <row r="2370">
          <cell r="D2370" t="str">
            <v>ISG</v>
          </cell>
          <cell r="E2370" t="str">
            <v>O型密封圈</v>
          </cell>
          <cell r="F2370">
            <v>14.11</v>
          </cell>
        </row>
        <row r="2371">
          <cell r="B2371">
            <v>4954487</v>
          </cell>
        </row>
        <row r="2371">
          <cell r="D2371" t="str">
            <v>ISF2.8/3.8</v>
          </cell>
          <cell r="E2371" t="str">
            <v>O型密封圈</v>
          </cell>
          <cell r="F2371">
            <v>16.8147</v>
          </cell>
        </row>
        <row r="2372">
          <cell r="B2372">
            <v>2887952</v>
          </cell>
        </row>
        <row r="2372">
          <cell r="D2372" t="str">
            <v>ISG</v>
          </cell>
          <cell r="E2372" t="str">
            <v>O型密封圈</v>
          </cell>
          <cell r="F2372">
            <v>13.48</v>
          </cell>
        </row>
        <row r="2373">
          <cell r="B2373">
            <v>2887951</v>
          </cell>
        </row>
        <row r="2373">
          <cell r="D2373" t="str">
            <v>ISG</v>
          </cell>
          <cell r="E2373" t="str">
            <v>O型密封圈</v>
          </cell>
          <cell r="F2373">
            <v>11.99</v>
          </cell>
        </row>
        <row r="2374">
          <cell r="B2374">
            <v>5283666</v>
          </cell>
        </row>
        <row r="2374">
          <cell r="D2374" t="str">
            <v>ISF3.8</v>
          </cell>
          <cell r="E2374" t="str">
            <v>O型密封圈</v>
          </cell>
          <cell r="F2374">
            <v>12.56</v>
          </cell>
        </row>
        <row r="2375">
          <cell r="B2375">
            <v>5558377</v>
          </cell>
        </row>
        <row r="2375">
          <cell r="D2375">
            <v>0</v>
          </cell>
          <cell r="E2375" t="str">
            <v>O型密封圈</v>
          </cell>
          <cell r="F2375">
            <v>17.36</v>
          </cell>
        </row>
        <row r="2376">
          <cell r="B2376">
            <v>3940386</v>
          </cell>
        </row>
        <row r="2376">
          <cell r="D2376" t="str">
            <v>ISF2.8</v>
          </cell>
          <cell r="E2376" t="str">
            <v>O型密封圈</v>
          </cell>
          <cell r="F2376">
            <v>10.55</v>
          </cell>
        </row>
        <row r="2377">
          <cell r="B2377">
            <v>3033247</v>
          </cell>
        </row>
        <row r="2377">
          <cell r="D2377" t="str">
            <v>ISG</v>
          </cell>
          <cell r="E2377" t="str">
            <v>O型密封圈</v>
          </cell>
          <cell r="F2377">
            <v>15.06</v>
          </cell>
        </row>
        <row r="2378">
          <cell r="B2378">
            <v>2898295</v>
          </cell>
        </row>
        <row r="2378">
          <cell r="D2378" t="str">
            <v>ISF2.8</v>
          </cell>
          <cell r="E2378" t="str">
            <v>O型密封圈</v>
          </cell>
          <cell r="F2378">
            <v>8.74</v>
          </cell>
        </row>
        <row r="2379">
          <cell r="B2379">
            <v>4991149</v>
          </cell>
        </row>
        <row r="2379">
          <cell r="D2379" t="str">
            <v>ISF2.8</v>
          </cell>
          <cell r="E2379" t="str">
            <v>O型密封圈</v>
          </cell>
          <cell r="F2379">
            <v>7.8</v>
          </cell>
        </row>
        <row r="2380">
          <cell r="B2380">
            <v>3944308</v>
          </cell>
        </row>
        <row r="2380">
          <cell r="D2380" t="str">
            <v>ISF4.5</v>
          </cell>
          <cell r="E2380" t="str">
            <v>O型密封圈</v>
          </cell>
          <cell r="F2380">
            <v>7.09</v>
          </cell>
        </row>
        <row r="2381">
          <cell r="B2381">
            <v>5301826</v>
          </cell>
        </row>
        <row r="2381">
          <cell r="D2381" t="str">
            <v>ISF3.8</v>
          </cell>
          <cell r="E2381" t="str">
            <v>O型密封圈</v>
          </cell>
          <cell r="F2381">
            <v>7.07</v>
          </cell>
        </row>
        <row r="2382">
          <cell r="B2382">
            <v>4058941</v>
          </cell>
        </row>
        <row r="2382">
          <cell r="D2382" t="str">
            <v>ISF2.8/3.8</v>
          </cell>
          <cell r="E2382" t="str">
            <v>O型密封圈</v>
          </cell>
          <cell r="F2382">
            <v>6.96</v>
          </cell>
        </row>
        <row r="2383">
          <cell r="B2383">
            <v>3029820</v>
          </cell>
        </row>
        <row r="2383">
          <cell r="D2383" t="str">
            <v>ISF3.8</v>
          </cell>
          <cell r="E2383" t="str">
            <v>O型密封圈</v>
          </cell>
          <cell r="F2383">
            <v>6.59</v>
          </cell>
        </row>
        <row r="2384">
          <cell r="B2384">
            <v>4921574</v>
          </cell>
        </row>
        <row r="2384">
          <cell r="D2384" t="str">
            <v>ISF2.8/3.8</v>
          </cell>
          <cell r="E2384" t="str">
            <v>O型密封圈</v>
          </cell>
          <cell r="F2384">
            <v>6.38</v>
          </cell>
        </row>
        <row r="2385">
          <cell r="B2385">
            <v>3679139</v>
          </cell>
        </row>
        <row r="2385">
          <cell r="D2385" t="str">
            <v>ISF3.8</v>
          </cell>
          <cell r="E2385" t="str">
            <v>O型密封圈</v>
          </cell>
          <cell r="F2385">
            <v>6.26</v>
          </cell>
        </row>
        <row r="2386">
          <cell r="B2386">
            <v>2830977</v>
          </cell>
        </row>
        <row r="2386">
          <cell r="D2386" t="str">
            <v>ISF3.8/ISG</v>
          </cell>
          <cell r="E2386" t="str">
            <v>O型密封圈</v>
          </cell>
          <cell r="F2386">
            <v>6.08</v>
          </cell>
        </row>
        <row r="2387">
          <cell r="B2387">
            <v>3697433</v>
          </cell>
        </row>
        <row r="2387">
          <cell r="D2387" t="str">
            <v>ISG</v>
          </cell>
          <cell r="E2387" t="str">
            <v>O型密封圈</v>
          </cell>
          <cell r="F2387">
            <v>9.42</v>
          </cell>
        </row>
        <row r="2388">
          <cell r="B2388">
            <v>3330797</v>
          </cell>
        </row>
        <row r="2388">
          <cell r="D2388">
            <v>0</v>
          </cell>
          <cell r="E2388" t="str">
            <v>O型密封圈</v>
          </cell>
          <cell r="F2388">
            <v>5.77</v>
          </cell>
        </row>
        <row r="2389">
          <cell r="B2389">
            <v>3090126</v>
          </cell>
        </row>
        <row r="2389">
          <cell r="D2389" t="str">
            <v>ISF2.8/3.8</v>
          </cell>
          <cell r="E2389" t="str">
            <v>O型密封圈</v>
          </cell>
          <cell r="F2389">
            <v>5.42</v>
          </cell>
        </row>
        <row r="2390">
          <cell r="B2390">
            <v>3089019</v>
          </cell>
        </row>
        <row r="2390">
          <cell r="D2390" t="str">
            <v>ISG</v>
          </cell>
          <cell r="E2390" t="str">
            <v>O型密封圈</v>
          </cell>
          <cell r="F2390">
            <v>8.28</v>
          </cell>
        </row>
        <row r="2391">
          <cell r="B2391">
            <v>3697434</v>
          </cell>
        </row>
        <row r="2391">
          <cell r="D2391" t="str">
            <v>ISG</v>
          </cell>
          <cell r="E2391" t="str">
            <v>O型密封圈</v>
          </cell>
          <cell r="F2391">
            <v>8.24</v>
          </cell>
        </row>
        <row r="2392">
          <cell r="B2392" t="str">
            <v>C3678912</v>
          </cell>
        </row>
        <row r="2392">
          <cell r="D2392" t="str">
            <v>ISF2.8</v>
          </cell>
          <cell r="E2392" t="str">
            <v>O型密封圈</v>
          </cell>
          <cell r="F2392">
            <v>2.43</v>
          </cell>
        </row>
        <row r="2393">
          <cell r="B2393">
            <v>5257072</v>
          </cell>
        </row>
        <row r="2393">
          <cell r="D2393" t="str">
            <v>ISF2.8</v>
          </cell>
          <cell r="E2393" t="str">
            <v>O型密封圈</v>
          </cell>
          <cell r="F2393">
            <v>5.07</v>
          </cell>
        </row>
        <row r="2394">
          <cell r="B2394">
            <v>5558673</v>
          </cell>
        </row>
        <row r="2394">
          <cell r="D2394" t="str">
            <v>ISG</v>
          </cell>
          <cell r="E2394" t="str">
            <v>O型密封圈</v>
          </cell>
          <cell r="F2394">
            <v>7.78</v>
          </cell>
        </row>
        <row r="2395">
          <cell r="B2395">
            <v>5271958</v>
          </cell>
        </row>
        <row r="2395">
          <cell r="D2395" t="str">
            <v>ISF3.8</v>
          </cell>
          <cell r="E2395" t="str">
            <v>O型密封圈</v>
          </cell>
          <cell r="F2395">
            <v>4.7</v>
          </cell>
        </row>
        <row r="2396">
          <cell r="B2396">
            <v>3035027</v>
          </cell>
        </row>
        <row r="2396">
          <cell r="D2396" t="str">
            <v>ISF3.8/ISG</v>
          </cell>
          <cell r="E2396" t="str">
            <v>O型密封圈</v>
          </cell>
          <cell r="F2396">
            <v>7.1</v>
          </cell>
        </row>
        <row r="2397">
          <cell r="B2397">
            <v>4934749</v>
          </cell>
        </row>
        <row r="2397">
          <cell r="D2397" t="str">
            <v>ISF3.8</v>
          </cell>
          <cell r="E2397" t="str">
            <v>O型密封圈</v>
          </cell>
          <cell r="F2397">
            <v>3.97</v>
          </cell>
        </row>
        <row r="2398">
          <cell r="B2398">
            <v>5261587</v>
          </cell>
        </row>
        <row r="2398">
          <cell r="D2398" t="str">
            <v>ISF3.8</v>
          </cell>
          <cell r="E2398" t="str">
            <v>O型密封圈</v>
          </cell>
          <cell r="F2398">
            <v>3.8</v>
          </cell>
        </row>
        <row r="2399">
          <cell r="B2399">
            <v>5377759</v>
          </cell>
        </row>
        <row r="2399">
          <cell r="D2399" t="str">
            <v>ISG</v>
          </cell>
          <cell r="E2399" t="str">
            <v>O型密封圈</v>
          </cell>
          <cell r="F2399">
            <v>3.65</v>
          </cell>
        </row>
        <row r="2400">
          <cell r="B2400">
            <v>4992560</v>
          </cell>
        </row>
        <row r="2400">
          <cell r="D2400" t="str">
            <v>ISF2.8</v>
          </cell>
          <cell r="E2400" t="str">
            <v>O型密封圈</v>
          </cell>
          <cell r="F2400">
            <v>3.59</v>
          </cell>
        </row>
        <row r="2401">
          <cell r="B2401">
            <v>5265277</v>
          </cell>
        </row>
        <row r="2401">
          <cell r="D2401" t="str">
            <v>ISF2.8</v>
          </cell>
          <cell r="E2401" t="str">
            <v>O型密封圈</v>
          </cell>
          <cell r="F2401">
            <v>3.59</v>
          </cell>
        </row>
        <row r="2402">
          <cell r="B2402">
            <v>3867646</v>
          </cell>
        </row>
        <row r="2402">
          <cell r="D2402" t="str">
            <v>ISF3.8</v>
          </cell>
          <cell r="E2402" t="str">
            <v>O型密封圈</v>
          </cell>
          <cell r="F2402">
            <v>3.54</v>
          </cell>
        </row>
        <row r="2403">
          <cell r="B2403">
            <v>5306589</v>
          </cell>
        </row>
        <row r="2403">
          <cell r="D2403" t="str">
            <v>ISF4.5</v>
          </cell>
          <cell r="E2403" t="str">
            <v>O型密封圈</v>
          </cell>
          <cell r="F2403">
            <v>3.53</v>
          </cell>
        </row>
        <row r="2404">
          <cell r="B2404">
            <v>5340700</v>
          </cell>
        </row>
        <row r="2404">
          <cell r="D2404" t="str">
            <v>ISF2.8</v>
          </cell>
          <cell r="E2404" t="str">
            <v>O型密封圈</v>
          </cell>
          <cell r="F2404">
            <v>2.97</v>
          </cell>
        </row>
        <row r="2405">
          <cell r="B2405">
            <v>3922794</v>
          </cell>
        </row>
        <row r="2405">
          <cell r="D2405" t="str">
            <v>ISF3.8</v>
          </cell>
          <cell r="E2405" t="str">
            <v>O型密封圈</v>
          </cell>
          <cell r="F2405">
            <v>2.92</v>
          </cell>
        </row>
        <row r="2406">
          <cell r="B2406">
            <v>2895380</v>
          </cell>
        </row>
        <row r="2406">
          <cell r="D2406">
            <v>0</v>
          </cell>
          <cell r="E2406" t="str">
            <v>O型密封圈</v>
          </cell>
          <cell r="F2406">
            <v>2.89</v>
          </cell>
        </row>
        <row r="2407">
          <cell r="B2407">
            <v>4062328</v>
          </cell>
        </row>
        <row r="2407">
          <cell r="D2407" t="str">
            <v>ISF2.8/3.8</v>
          </cell>
          <cell r="E2407" t="str">
            <v>O型密封圈</v>
          </cell>
          <cell r="F2407">
            <v>2.62</v>
          </cell>
        </row>
        <row r="2408">
          <cell r="B2408">
            <v>5265284</v>
          </cell>
        </row>
        <row r="2408">
          <cell r="D2408" t="str">
            <v>ISF2.8</v>
          </cell>
          <cell r="E2408" t="str">
            <v>O型密封圈</v>
          </cell>
          <cell r="F2408">
            <v>2.59</v>
          </cell>
        </row>
        <row r="2409">
          <cell r="B2409">
            <v>3906285</v>
          </cell>
        </row>
        <row r="2409">
          <cell r="D2409" t="str">
            <v>ISF3.8</v>
          </cell>
          <cell r="E2409" t="str">
            <v>O型密封圈</v>
          </cell>
          <cell r="F2409">
            <v>2.52</v>
          </cell>
        </row>
        <row r="2410">
          <cell r="B2410">
            <v>5255316</v>
          </cell>
        </row>
        <row r="2410">
          <cell r="D2410" t="str">
            <v>ISF2.8</v>
          </cell>
          <cell r="E2410" t="str">
            <v>O型密封圈</v>
          </cell>
          <cell r="F2410">
            <v>2.48</v>
          </cell>
        </row>
        <row r="2411">
          <cell r="B2411">
            <v>3683814</v>
          </cell>
        </row>
        <row r="2411">
          <cell r="D2411">
            <v>0</v>
          </cell>
          <cell r="E2411" t="str">
            <v>O型密封圈</v>
          </cell>
          <cell r="F2411">
            <v>2.43</v>
          </cell>
        </row>
        <row r="2412">
          <cell r="B2412">
            <v>4944374</v>
          </cell>
        </row>
        <row r="2412">
          <cell r="D2412" t="str">
            <v>ISF2.8/3.8</v>
          </cell>
          <cell r="E2412" t="str">
            <v>O型密封圈</v>
          </cell>
          <cell r="F2412">
            <v>2.4</v>
          </cell>
        </row>
        <row r="2413">
          <cell r="B2413">
            <v>3678603</v>
          </cell>
        </row>
        <row r="2413">
          <cell r="D2413" t="str">
            <v>ISF3.8</v>
          </cell>
          <cell r="E2413" t="str">
            <v>O型密封圈</v>
          </cell>
          <cell r="F2413">
            <v>2.38</v>
          </cell>
        </row>
        <row r="2414">
          <cell r="B2414">
            <v>5259924</v>
          </cell>
        </row>
        <row r="2414">
          <cell r="D2414" t="str">
            <v>ISF2.8/3.8</v>
          </cell>
          <cell r="E2414" t="str">
            <v>O型密封圈</v>
          </cell>
          <cell r="F2414">
            <v>2.34</v>
          </cell>
        </row>
        <row r="2415">
          <cell r="B2415" t="str">
            <v>C3089240</v>
          </cell>
        </row>
        <row r="2415">
          <cell r="D2415">
            <v>0</v>
          </cell>
          <cell r="E2415" t="str">
            <v>O型密封圈</v>
          </cell>
          <cell r="F2415">
            <v>1.63</v>
          </cell>
        </row>
        <row r="2416">
          <cell r="B2416">
            <v>3928624</v>
          </cell>
        </row>
        <row r="2416">
          <cell r="D2416" t="str">
            <v>ISF3.8</v>
          </cell>
          <cell r="E2416" t="str">
            <v>O型密封圈</v>
          </cell>
          <cell r="F2416">
            <v>2.24</v>
          </cell>
        </row>
        <row r="2417">
          <cell r="B2417">
            <v>5259563</v>
          </cell>
        </row>
        <row r="2417">
          <cell r="D2417" t="str">
            <v>ISF2.8/3.8</v>
          </cell>
          <cell r="E2417" t="str">
            <v>O型密封圈</v>
          </cell>
          <cell r="F2417">
            <v>1.23</v>
          </cell>
        </row>
        <row r="2418">
          <cell r="B2418">
            <v>3910260</v>
          </cell>
        </row>
        <row r="2418">
          <cell r="D2418" t="str">
            <v>ISF2.8/3.8</v>
          </cell>
          <cell r="E2418" t="str">
            <v>O型密封圈</v>
          </cell>
          <cell r="F2418">
            <v>1.48</v>
          </cell>
        </row>
        <row r="2419">
          <cell r="B2419">
            <v>4994574</v>
          </cell>
        </row>
        <row r="2419">
          <cell r="D2419" t="str">
            <v>ISF2.8/3.8</v>
          </cell>
          <cell r="E2419" t="str">
            <v>O型密封圈</v>
          </cell>
          <cell r="F2419">
            <v>1</v>
          </cell>
        </row>
        <row r="2420">
          <cell r="B2420">
            <v>5365328</v>
          </cell>
        </row>
        <row r="2420">
          <cell r="D2420" t="str">
            <v>ISF4.5</v>
          </cell>
          <cell r="E2420" t="str">
            <v>O型螺堵</v>
          </cell>
          <cell r="F2420">
            <v>18.54</v>
          </cell>
        </row>
        <row r="2421">
          <cell r="B2421">
            <v>5317217</v>
          </cell>
        </row>
        <row r="2421">
          <cell r="D2421" t="str">
            <v>ISF3.8</v>
          </cell>
          <cell r="E2421" t="str">
            <v>O型螺堵</v>
          </cell>
          <cell r="F2421">
            <v>14.57</v>
          </cell>
        </row>
        <row r="2422">
          <cell r="B2422">
            <v>5529534</v>
          </cell>
        </row>
        <row r="2422">
          <cell r="D2422" t="str">
            <v>ISF2.8</v>
          </cell>
          <cell r="E2422" t="str">
            <v>O型螺堵</v>
          </cell>
          <cell r="F2422">
            <v>12.55</v>
          </cell>
        </row>
        <row r="2423">
          <cell r="B2423">
            <v>5300512</v>
          </cell>
        </row>
        <row r="2423">
          <cell r="D2423" t="str">
            <v>ISF2.8</v>
          </cell>
          <cell r="E2423" t="str">
            <v>O型螺堵</v>
          </cell>
          <cell r="F2423">
            <v>10.36</v>
          </cell>
        </row>
        <row r="2424">
          <cell r="B2424">
            <v>5254851</v>
          </cell>
        </row>
        <row r="2424">
          <cell r="D2424" t="str">
            <v>ISF2.8</v>
          </cell>
          <cell r="E2424" t="str">
            <v>O型螺堵</v>
          </cell>
          <cell r="F2424">
            <v>6.84</v>
          </cell>
        </row>
        <row r="2425">
          <cell r="B2425">
            <v>3910248</v>
          </cell>
        </row>
        <row r="2425">
          <cell r="D2425" t="str">
            <v>ISF2.8/3.8</v>
          </cell>
          <cell r="E2425" t="str">
            <v>O型螺堵</v>
          </cell>
          <cell r="F2425">
            <v>5.94</v>
          </cell>
        </row>
        <row r="2426">
          <cell r="B2426">
            <v>3698392</v>
          </cell>
        </row>
        <row r="2426">
          <cell r="D2426" t="str">
            <v>ISG</v>
          </cell>
          <cell r="E2426" t="str">
            <v>O型螺堵</v>
          </cell>
          <cell r="F2426">
            <v>2.19</v>
          </cell>
        </row>
        <row r="2427">
          <cell r="B2427">
            <v>5614097</v>
          </cell>
        </row>
        <row r="2427">
          <cell r="D2427">
            <v>0</v>
          </cell>
          <cell r="E2427" t="str">
            <v>O形密封圈</v>
          </cell>
          <cell r="F2427">
            <v>15.46</v>
          </cell>
        </row>
        <row r="2428">
          <cell r="B2428">
            <v>3254318</v>
          </cell>
        </row>
        <row r="2428">
          <cell r="D2428">
            <v>0</v>
          </cell>
          <cell r="E2428" t="str">
            <v>O形密封圈</v>
          </cell>
          <cell r="F2428">
            <v>10.34</v>
          </cell>
        </row>
        <row r="2429">
          <cell r="B2429">
            <v>3696054</v>
          </cell>
        </row>
        <row r="2429">
          <cell r="D2429" t="str">
            <v>ISG</v>
          </cell>
          <cell r="E2429" t="str">
            <v>O形密封圈</v>
          </cell>
          <cell r="F2429">
            <v>5.5</v>
          </cell>
        </row>
        <row r="2430">
          <cell r="B2430">
            <v>5295497</v>
          </cell>
        </row>
        <row r="2430">
          <cell r="D2430" t="str">
            <v>ISF4.5</v>
          </cell>
          <cell r="E2430" t="str">
            <v>EGR冷却器支架</v>
          </cell>
          <cell r="F2430">
            <v>63.14</v>
          </cell>
        </row>
        <row r="2431">
          <cell r="B2431">
            <v>5365982</v>
          </cell>
          <cell r="C2431">
            <v>5309070</v>
          </cell>
          <cell r="D2431" t="str">
            <v>ISF3.8</v>
          </cell>
          <cell r="E2431" t="str">
            <v>EGR冷却器</v>
          </cell>
          <cell r="F2431">
            <v>614.7</v>
          </cell>
        </row>
        <row r="2432">
          <cell r="B2432">
            <v>5310100</v>
          </cell>
        </row>
        <row r="2432">
          <cell r="D2432" t="str">
            <v>ISF2.8</v>
          </cell>
          <cell r="E2432" t="str">
            <v>EGR冷却器</v>
          </cell>
          <cell r="F2432">
            <v>581.5683</v>
          </cell>
        </row>
        <row r="2433">
          <cell r="B2433">
            <v>5262032</v>
          </cell>
        </row>
        <row r="2433">
          <cell r="D2433" t="str">
            <v>ISF2.8</v>
          </cell>
          <cell r="E2433" t="str">
            <v>EGR卡箍</v>
          </cell>
          <cell r="F2433">
            <v>31.5</v>
          </cell>
        </row>
        <row r="2434">
          <cell r="B2434">
            <v>5303070</v>
          </cell>
        </row>
        <row r="2434">
          <cell r="D2434" t="str">
            <v>ISF4.5</v>
          </cell>
          <cell r="E2434" t="str">
            <v>EGR进气管</v>
          </cell>
          <cell r="F2434">
            <v>82.05</v>
          </cell>
        </row>
        <row r="2435">
          <cell r="B2435">
            <v>5298253</v>
          </cell>
        </row>
        <row r="2435">
          <cell r="D2435" t="str">
            <v>ISF3.8</v>
          </cell>
          <cell r="E2435" t="str">
            <v>EGR进气管</v>
          </cell>
          <cell r="F2435">
            <v>65.13</v>
          </cell>
        </row>
        <row r="2436">
          <cell r="B2436">
            <v>5297729</v>
          </cell>
        </row>
        <row r="2436">
          <cell r="D2436" t="str">
            <v>ISF2.8</v>
          </cell>
          <cell r="E2436" t="str">
            <v>EGR进气管</v>
          </cell>
          <cell r="F2436">
            <v>38.4642</v>
          </cell>
        </row>
        <row r="2437">
          <cell r="B2437">
            <v>5305377</v>
          </cell>
        </row>
        <row r="2437">
          <cell r="D2437" t="str">
            <v>ISF4.5</v>
          </cell>
          <cell r="E2437" t="str">
            <v>EGR进气管</v>
          </cell>
          <cell r="F2437">
            <v>33.64</v>
          </cell>
        </row>
        <row r="2438">
          <cell r="B2438">
            <v>5287636</v>
          </cell>
        </row>
        <row r="2438">
          <cell r="D2438" t="str">
            <v>ISF2.8</v>
          </cell>
          <cell r="E2438" t="str">
            <v>EGR进气管</v>
          </cell>
          <cell r="F2438">
            <v>33.15</v>
          </cell>
        </row>
        <row r="2439">
          <cell r="B2439">
            <v>5306499</v>
          </cell>
        </row>
        <row r="2439">
          <cell r="D2439" t="str">
            <v>ISF2.8</v>
          </cell>
          <cell r="E2439" t="str">
            <v>EGR进气管</v>
          </cell>
          <cell r="F2439">
            <v>25.78</v>
          </cell>
        </row>
        <row r="2440">
          <cell r="B2440">
            <v>5336146</v>
          </cell>
        </row>
        <row r="2440">
          <cell r="D2440" t="str">
            <v>ISF2.8</v>
          </cell>
          <cell r="E2440" t="str">
            <v>EGR进气管</v>
          </cell>
          <cell r="F2440">
            <v>23.92</v>
          </cell>
        </row>
        <row r="2441">
          <cell r="B2441">
            <v>5313434</v>
          </cell>
        </row>
        <row r="2441">
          <cell r="D2441" t="str">
            <v>ISF2.8</v>
          </cell>
          <cell r="E2441" t="str">
            <v>EGR进气管</v>
          </cell>
          <cell r="F2441">
            <v>20.69</v>
          </cell>
        </row>
        <row r="2442">
          <cell r="B2442">
            <v>5685437</v>
          </cell>
        </row>
        <row r="2442">
          <cell r="D2442">
            <v>0</v>
          </cell>
          <cell r="E2442" t="str">
            <v>EGR阀密封垫</v>
          </cell>
          <cell r="F2442">
            <v>75.2607</v>
          </cell>
        </row>
        <row r="2443">
          <cell r="B2443">
            <v>5395762</v>
          </cell>
        </row>
        <row r="2443">
          <cell r="D2443" t="str">
            <v>ISF2.8</v>
          </cell>
          <cell r="E2443" t="str">
            <v>EGR阀</v>
          </cell>
          <cell r="F2443">
            <v>1254.12</v>
          </cell>
        </row>
        <row r="2444">
          <cell r="B2444">
            <v>5405025</v>
          </cell>
          <cell r="C2444">
            <v>5266683</v>
          </cell>
          <cell r="D2444" t="str">
            <v>ISF2.8</v>
          </cell>
          <cell r="E2444" t="str">
            <v>EGR阀</v>
          </cell>
          <cell r="F2444">
            <v>1128.69</v>
          </cell>
        </row>
        <row r="2445">
          <cell r="B2445">
            <v>5528292</v>
          </cell>
          <cell r="C2445">
            <v>5309071</v>
          </cell>
          <cell r="D2445" t="str">
            <v>ISF3.8</v>
          </cell>
          <cell r="E2445" t="str">
            <v>EGR阀</v>
          </cell>
          <cell r="F2445">
            <v>1155.1959</v>
          </cell>
        </row>
        <row r="2446">
          <cell r="B2446">
            <v>5309069</v>
          </cell>
        </row>
        <row r="2446">
          <cell r="D2446" t="str">
            <v>ISF2.8</v>
          </cell>
          <cell r="E2446" t="str">
            <v>EGR阀</v>
          </cell>
          <cell r="F2446">
            <v>1108.8675</v>
          </cell>
        </row>
        <row r="2447">
          <cell r="B2447">
            <v>5312874</v>
          </cell>
        </row>
        <row r="2447">
          <cell r="D2447" t="str">
            <v>ISF2.8</v>
          </cell>
          <cell r="E2447" t="str">
            <v>EGR出口管</v>
          </cell>
          <cell r="F2447">
            <v>71.12</v>
          </cell>
        </row>
        <row r="2448">
          <cell r="B2448">
            <v>5303072</v>
          </cell>
        </row>
        <row r="2448">
          <cell r="D2448" t="str">
            <v>ISF4.5</v>
          </cell>
          <cell r="E2448" t="str">
            <v>EGR出口管</v>
          </cell>
          <cell r="F2448">
            <v>62.6535</v>
          </cell>
        </row>
        <row r="2449">
          <cell r="B2449">
            <v>5367903</v>
          </cell>
        </row>
        <row r="2449">
          <cell r="D2449" t="str">
            <v>ISF2.8</v>
          </cell>
          <cell r="E2449" t="str">
            <v>EGR出口管</v>
          </cell>
          <cell r="F2449">
            <v>44.9667</v>
          </cell>
        </row>
        <row r="2450">
          <cell r="B2450">
            <v>5306622</v>
          </cell>
        </row>
        <row r="2450">
          <cell r="D2450" t="str">
            <v>ISF2.8</v>
          </cell>
          <cell r="E2450" t="str">
            <v>EGR出口管</v>
          </cell>
          <cell r="F2450">
            <v>43.58</v>
          </cell>
        </row>
        <row r="2451">
          <cell r="B2451">
            <v>5268356</v>
          </cell>
        </row>
        <row r="2451">
          <cell r="D2451" t="str">
            <v>ISF2.8</v>
          </cell>
          <cell r="E2451" t="str">
            <v>EGR出口管</v>
          </cell>
          <cell r="F2451">
            <v>34.17</v>
          </cell>
        </row>
        <row r="2452">
          <cell r="B2452">
            <v>5305423</v>
          </cell>
        </row>
        <row r="2452">
          <cell r="D2452" t="str">
            <v>ISF3.8</v>
          </cell>
          <cell r="E2452" t="str">
            <v>EGR出口管</v>
          </cell>
          <cell r="F2452">
            <v>27.7389</v>
          </cell>
        </row>
        <row r="2453">
          <cell r="B2453">
            <v>5711116</v>
          </cell>
        </row>
        <row r="2453">
          <cell r="D2453">
            <v>0</v>
          </cell>
          <cell r="E2453" t="str">
            <v>ECM支架</v>
          </cell>
          <cell r="F2453">
            <v>213.73</v>
          </cell>
        </row>
        <row r="2454">
          <cell r="B2454">
            <v>5575138</v>
          </cell>
        </row>
        <row r="2454">
          <cell r="D2454" t="str">
            <v>ISG</v>
          </cell>
          <cell r="E2454" t="str">
            <v>ECM线束</v>
          </cell>
          <cell r="F2454">
            <v>735.4723</v>
          </cell>
        </row>
        <row r="2455">
          <cell r="B2455">
            <v>4995185</v>
          </cell>
        </row>
        <row r="2455">
          <cell r="D2455" t="str">
            <v>ISF2.8/3.8</v>
          </cell>
          <cell r="E2455" t="str">
            <v>D型密封圈</v>
          </cell>
          <cell r="F2455">
            <v>3.66</v>
          </cell>
        </row>
        <row r="2456">
          <cell r="B2456">
            <v>3698082</v>
          </cell>
        </row>
        <row r="2456">
          <cell r="D2456" t="str">
            <v>ISG</v>
          </cell>
          <cell r="E2456" t="str">
            <v>D型密封圈</v>
          </cell>
          <cell r="F2456">
            <v>1.94</v>
          </cell>
        </row>
        <row r="2457">
          <cell r="B2457">
            <v>5270761</v>
          </cell>
        </row>
        <row r="2457">
          <cell r="D2457" t="e">
            <v>#N/A</v>
          </cell>
          <cell r="E2457" t="str">
            <v>机油标尺</v>
          </cell>
          <cell r="F2457">
            <v>27.3411</v>
          </cell>
        </row>
        <row r="2458">
          <cell r="B2458">
            <v>3904166</v>
          </cell>
          <cell r="C2458">
            <v>3900396</v>
          </cell>
          <cell r="D2458" t="str">
            <v>ISF3.8</v>
          </cell>
          <cell r="E2458" t="str">
            <v>缸套</v>
          </cell>
          <cell r="F2458">
            <v>44.217</v>
          </cell>
        </row>
        <row r="2459">
          <cell r="B2459">
            <v>4890634</v>
          </cell>
        </row>
        <row r="2459">
          <cell r="E2459" t="str">
            <v>正六角螺母</v>
          </cell>
          <cell r="F2459">
            <v>27.82</v>
          </cell>
        </row>
        <row r="2460">
          <cell r="B2460">
            <v>5558389</v>
          </cell>
        </row>
        <row r="2460">
          <cell r="E2460" t="str">
            <v>压力信号反馈管</v>
          </cell>
          <cell r="F2460">
            <v>24.58</v>
          </cell>
        </row>
        <row r="2461">
          <cell r="B2461">
            <v>2897333</v>
          </cell>
        </row>
        <row r="2461">
          <cell r="D2461" t="str">
            <v>ISF2.8/3.8</v>
          </cell>
          <cell r="E2461" t="str">
            <v>压力温度传感器</v>
          </cell>
          <cell r="F2461">
            <v>94.8906</v>
          </cell>
        </row>
        <row r="2462">
          <cell r="B2462">
            <v>4076930</v>
          </cell>
        </row>
        <row r="2462">
          <cell r="D2462" t="str">
            <v>ISF2.8/3.8</v>
          </cell>
          <cell r="E2462" t="str">
            <v>压力开关</v>
          </cell>
          <cell r="F2462">
            <v>23.37</v>
          </cell>
        </row>
        <row r="2463">
          <cell r="B2463">
            <v>2897334</v>
          </cell>
        </row>
        <row r="2463">
          <cell r="E2463" t="str">
            <v>温度传感器</v>
          </cell>
          <cell r="F2463">
            <v>134.9307</v>
          </cell>
        </row>
        <row r="2464">
          <cell r="B2464">
            <v>4383999</v>
          </cell>
        </row>
        <row r="2464">
          <cell r="D2464" t="str">
            <v>ISF4.5</v>
          </cell>
          <cell r="E2464" t="str">
            <v>位置传感器</v>
          </cell>
          <cell r="F2464">
            <v>77.3874</v>
          </cell>
        </row>
        <row r="2465">
          <cell r="B2465">
            <v>5361547</v>
          </cell>
        </row>
        <row r="2465">
          <cell r="E2465" t="str">
            <v>燃油回油管</v>
          </cell>
          <cell r="F2465">
            <v>296.3457</v>
          </cell>
        </row>
        <row r="2466">
          <cell r="B2466" t="str">
            <v>5664533/5664534</v>
          </cell>
          <cell r="C2466">
            <v>5529727</v>
          </cell>
        </row>
        <row r="2466">
          <cell r="E2466" t="str">
            <v>气门座圈</v>
          </cell>
          <cell r="F2466">
            <v>10.76</v>
          </cell>
        </row>
        <row r="2467">
          <cell r="B2467">
            <v>5669039</v>
          </cell>
          <cell r="C2467">
            <v>5590362</v>
          </cell>
          <cell r="D2467" t="str">
            <v>ISF2.8</v>
          </cell>
          <cell r="E2467" t="str">
            <v>气门室罩盖（国六）</v>
          </cell>
          <cell r="F2467">
            <v>314.36</v>
          </cell>
        </row>
        <row r="2468">
          <cell r="B2468">
            <v>5726240</v>
          </cell>
        </row>
        <row r="2468">
          <cell r="E2468" t="str">
            <v>气门室罩盖</v>
          </cell>
          <cell r="F2468">
            <v>299.65</v>
          </cell>
        </row>
        <row r="2469">
          <cell r="B2469">
            <v>5560997</v>
          </cell>
        </row>
        <row r="2469">
          <cell r="E2469" t="str">
            <v>排气连接件</v>
          </cell>
          <cell r="F2469">
            <v>166.57</v>
          </cell>
        </row>
        <row r="2470">
          <cell r="B2470">
            <v>5370527</v>
          </cell>
        </row>
        <row r="2470">
          <cell r="E2470" t="str">
            <v>排气连接件</v>
          </cell>
          <cell r="F2470">
            <v>122.71</v>
          </cell>
        </row>
        <row r="2471">
          <cell r="B2471">
            <v>5296559</v>
          </cell>
        </row>
        <row r="2471">
          <cell r="E2471" t="str">
            <v>连接密封垫</v>
          </cell>
          <cell r="F2471">
            <v>7.89</v>
          </cell>
        </row>
        <row r="2472">
          <cell r="B2472">
            <v>5296560</v>
          </cell>
        </row>
        <row r="2472">
          <cell r="E2472" t="str">
            <v>连接密封垫</v>
          </cell>
          <cell r="F2472">
            <v>6.55</v>
          </cell>
        </row>
        <row r="2473">
          <cell r="B2473">
            <v>5689070</v>
          </cell>
        </row>
        <row r="2473">
          <cell r="E2473" t="str">
            <v>进水管</v>
          </cell>
          <cell r="F2473">
            <v>35.3736</v>
          </cell>
        </row>
        <row r="2474">
          <cell r="B2474">
            <v>5334639</v>
          </cell>
          <cell r="C2474" t="str">
            <v>5261257/5261256</v>
          </cell>
          <cell r="D2474" t="str">
            <v>ISF2.8</v>
          </cell>
          <cell r="E2474" t="str">
            <v>缸体</v>
          </cell>
          <cell r="F2474">
            <v>4651.4164</v>
          </cell>
        </row>
        <row r="2475">
          <cell r="B2475">
            <v>5474318</v>
          </cell>
        </row>
        <row r="2475">
          <cell r="D2475" t="str">
            <v>ISF2.8</v>
          </cell>
          <cell r="E2475" t="str">
            <v>缸盖密封垫（国六）</v>
          </cell>
          <cell r="F2475">
            <v>101.232</v>
          </cell>
        </row>
        <row r="2476">
          <cell r="B2476">
            <v>5661630</v>
          </cell>
        </row>
        <row r="2476">
          <cell r="E2476" t="str">
            <v>缸盖</v>
          </cell>
          <cell r="F2476">
            <v>16669.3112</v>
          </cell>
        </row>
        <row r="2477">
          <cell r="B2477">
            <v>3696004</v>
          </cell>
        </row>
        <row r="2477">
          <cell r="E2477" t="str">
            <v>单向阀</v>
          </cell>
          <cell r="F2477">
            <v>0.5</v>
          </cell>
        </row>
        <row r="2478">
          <cell r="B2478">
            <v>3678912</v>
          </cell>
        </row>
        <row r="2478">
          <cell r="D2478" t="str">
            <v>ISF2.8</v>
          </cell>
          <cell r="E2478" t="str">
            <v>O型密封圈</v>
          </cell>
          <cell r="F2478">
            <v>5.14</v>
          </cell>
        </row>
        <row r="2479">
          <cell r="B2479">
            <v>5332605</v>
          </cell>
        </row>
        <row r="2479">
          <cell r="D2479" t="str">
            <v>ISG</v>
          </cell>
          <cell r="E2479" t="str">
            <v>发电机ISG</v>
          </cell>
          <cell r="F2479">
            <v>1548.31</v>
          </cell>
        </row>
        <row r="2480">
          <cell r="B2480">
            <v>5402633</v>
          </cell>
        </row>
        <row r="2480">
          <cell r="D2480" t="str">
            <v>ISG</v>
          </cell>
          <cell r="E2480" t="str">
            <v>电控模块线束</v>
          </cell>
          <cell r="F2480">
            <v>675.9284</v>
          </cell>
        </row>
        <row r="2481">
          <cell r="B2481">
            <v>3696936</v>
          </cell>
        </row>
        <row r="2481">
          <cell r="D2481" t="str">
            <v>ISG</v>
          </cell>
          <cell r="E2481" t="str">
            <v>空压机</v>
          </cell>
          <cell r="F2481">
            <v>2078.0001</v>
          </cell>
        </row>
        <row r="2482">
          <cell r="B2482">
            <v>3900250</v>
          </cell>
        </row>
        <row r="2482">
          <cell r="D2482" t="str">
            <v>ISG</v>
          </cell>
          <cell r="E2482" t="str">
            <v>进气门锁片</v>
          </cell>
          <cell r="F2482">
            <v>0.82</v>
          </cell>
        </row>
        <row r="2483">
          <cell r="B2483">
            <v>3901177</v>
          </cell>
        </row>
        <row r="2483">
          <cell r="D2483" t="str">
            <v>ISG</v>
          </cell>
        </row>
        <row r="2483">
          <cell r="F2483">
            <v>0.8</v>
          </cell>
        </row>
        <row r="2484">
          <cell r="B2484">
            <v>4960136</v>
          </cell>
        </row>
        <row r="2484">
          <cell r="D2484" t="str">
            <v>ISG</v>
          </cell>
        </row>
        <row r="2484">
          <cell r="F2484">
            <v>16.4934</v>
          </cell>
        </row>
        <row r="2485">
          <cell r="B2485">
            <v>6451258</v>
          </cell>
        </row>
        <row r="2485">
          <cell r="D2485" t="str">
            <v>ISG</v>
          </cell>
          <cell r="E2485" t="str">
            <v>机油泵密封垫</v>
          </cell>
          <cell r="F2485">
            <v>115.83</v>
          </cell>
        </row>
        <row r="2486">
          <cell r="B2486">
            <v>5677597</v>
          </cell>
        </row>
        <row r="2486">
          <cell r="E2486" t="str">
            <v>电控模块-需刷写程序</v>
          </cell>
          <cell r="F2486">
            <v>1964.92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B1:AC175"/>
  <sheetViews>
    <sheetView tabSelected="1" zoomScaleSheetLayoutView="60" workbookViewId="0">
      <pane ySplit="6" topLeftCell="A7" activePane="bottomLeft" state="frozen"/>
      <selection/>
      <selection pane="bottomLeft" activeCell="A1" sqref="$A1:$XFD1"/>
    </sheetView>
  </sheetViews>
  <sheetFormatPr defaultColWidth="9.33333333333333" defaultRowHeight="11.25"/>
  <cols>
    <col min="1" max="19" width="3.42222222222222" customWidth="1"/>
    <col min="20" max="22" width="4.71111111111111" customWidth="1"/>
    <col min="23" max="26" width="4.14444444444444" customWidth="1"/>
    <col min="27" max="27" width="1.85555555555556" customWidth="1"/>
    <col min="28" max="29" width="5.85555555555556" customWidth="1"/>
    <col min="30" max="16384" width="4.56666666666667" customWidth="1"/>
  </cols>
  <sheetData>
    <row r="1" ht="5.4" customHeight="1"/>
    <row r="2" ht="1.05" customHeight="1"/>
    <row r="3" ht="19.8" customHeight="1" spans="2:29">
      <c r="B3" s="242" t="s">
        <v>0</v>
      </c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  <c r="AC3" s="242"/>
    </row>
    <row r="4" ht="5.4" customHeight="1"/>
    <row r="5" customHeight="1" spans="2:29">
      <c r="B5" s="243" t="s">
        <v>1</v>
      </c>
      <c r="C5" s="244"/>
      <c r="D5" s="244" t="s">
        <v>2</v>
      </c>
      <c r="E5" s="244"/>
      <c r="F5" s="244"/>
      <c r="G5" s="244"/>
      <c r="H5" s="244" t="s">
        <v>3</v>
      </c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 t="s">
        <v>4</v>
      </c>
      <c r="V5" s="244"/>
      <c r="W5" s="244"/>
      <c r="X5" s="244" t="s">
        <v>5</v>
      </c>
      <c r="Y5" s="244"/>
      <c r="Z5" s="244" t="s">
        <v>6</v>
      </c>
      <c r="AA5" s="244"/>
      <c r="AB5" s="244"/>
      <c r="AC5" s="245"/>
    </row>
    <row r="6" ht="12.75" customHeight="1" spans="2:29">
      <c r="B6" s="246"/>
      <c r="C6" s="247"/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8"/>
    </row>
    <row r="7" customHeight="1" spans="2:29">
      <c r="B7" s="188">
        <v>1</v>
      </c>
      <c r="C7" s="189"/>
      <c r="D7" s="249" t="s">
        <v>7</v>
      </c>
      <c r="E7" s="249"/>
      <c r="F7" s="249"/>
      <c r="G7" s="249"/>
      <c r="H7" s="249" t="s">
        <v>8</v>
      </c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192">
        <v>3</v>
      </c>
      <c r="V7" s="192"/>
      <c r="W7" s="192"/>
      <c r="X7" s="193" t="s">
        <v>9</v>
      </c>
      <c r="Y7" s="193"/>
      <c r="Z7" s="194"/>
      <c r="AA7" s="194"/>
      <c r="AB7" s="194"/>
      <c r="AC7" s="250"/>
    </row>
    <row r="8" ht="21.75" customHeight="1" spans="2:29">
      <c r="B8" s="188">
        <v>2</v>
      </c>
      <c r="C8" s="189"/>
      <c r="D8" s="249" t="s">
        <v>10</v>
      </c>
      <c r="E8" s="249"/>
      <c r="F8" s="249"/>
      <c r="G8" s="249"/>
      <c r="H8" s="249" t="s">
        <v>11</v>
      </c>
      <c r="I8" s="249"/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49"/>
      <c r="U8" s="192">
        <v>16</v>
      </c>
      <c r="V8" s="192"/>
      <c r="W8" s="192"/>
      <c r="X8" s="193" t="s">
        <v>9</v>
      </c>
      <c r="Y8" s="193"/>
      <c r="Z8" s="194"/>
      <c r="AA8" s="194"/>
      <c r="AB8" s="194"/>
      <c r="AC8" s="250"/>
    </row>
    <row r="9" ht="21.75" customHeight="1" spans="2:29">
      <c r="B9" s="188">
        <v>3</v>
      </c>
      <c r="C9" s="189"/>
      <c r="D9" s="249" t="s">
        <v>12</v>
      </c>
      <c r="E9" s="249"/>
      <c r="F9" s="249"/>
      <c r="G9" s="249"/>
      <c r="H9" s="249" t="s">
        <v>13</v>
      </c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192">
        <v>5</v>
      </c>
      <c r="V9" s="192"/>
      <c r="W9" s="192"/>
      <c r="X9" s="193" t="s">
        <v>9</v>
      </c>
      <c r="Y9" s="193"/>
      <c r="Z9" s="194"/>
      <c r="AA9" s="194"/>
      <c r="AB9" s="194"/>
      <c r="AC9" s="250"/>
    </row>
    <row r="10" ht="21.75" customHeight="1" spans="2:29">
      <c r="B10" s="188">
        <v>4</v>
      </c>
      <c r="C10" s="189"/>
      <c r="D10" s="249" t="s">
        <v>14</v>
      </c>
      <c r="E10" s="249"/>
      <c r="F10" s="249"/>
      <c r="G10" s="249"/>
      <c r="H10" s="249" t="s">
        <v>15</v>
      </c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192">
        <v>20</v>
      </c>
      <c r="V10" s="192"/>
      <c r="W10" s="192"/>
      <c r="X10" s="193" t="s">
        <v>9</v>
      </c>
      <c r="Y10" s="193"/>
      <c r="Z10" s="194"/>
      <c r="AA10" s="194"/>
      <c r="AB10" s="194"/>
      <c r="AC10" s="250"/>
    </row>
    <row r="11" ht="21.75" customHeight="1" spans="2:29">
      <c r="B11" s="188">
        <v>5</v>
      </c>
      <c r="C11" s="189"/>
      <c r="D11" s="249" t="s">
        <v>16</v>
      </c>
      <c r="E11" s="249"/>
      <c r="F11" s="249"/>
      <c r="G11" s="249"/>
      <c r="H11" s="249" t="s">
        <v>17</v>
      </c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192">
        <v>4</v>
      </c>
      <c r="V11" s="192"/>
      <c r="W11" s="192"/>
      <c r="X11" s="193" t="s">
        <v>9</v>
      </c>
      <c r="Y11" s="193"/>
      <c r="Z11" s="194"/>
      <c r="AA11" s="194"/>
      <c r="AB11" s="194"/>
      <c r="AC11" s="250"/>
    </row>
    <row r="12" ht="21.75" customHeight="1" spans="2:29">
      <c r="B12" s="188">
        <v>6</v>
      </c>
      <c r="C12" s="189"/>
      <c r="D12" s="249" t="s">
        <v>18</v>
      </c>
      <c r="E12" s="249"/>
      <c r="F12" s="249"/>
      <c r="G12" s="249"/>
      <c r="H12" s="249" t="s">
        <v>19</v>
      </c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192">
        <v>2</v>
      </c>
      <c r="V12" s="192"/>
      <c r="W12" s="192"/>
      <c r="X12" s="193" t="s">
        <v>9</v>
      </c>
      <c r="Y12" s="193"/>
      <c r="Z12" s="194"/>
      <c r="AA12" s="194"/>
      <c r="AB12" s="194"/>
      <c r="AC12" s="250"/>
    </row>
    <row r="13" ht="21.75" customHeight="1" spans="2:29">
      <c r="B13" s="188">
        <v>7</v>
      </c>
      <c r="C13" s="189"/>
      <c r="D13" s="249" t="s">
        <v>20</v>
      </c>
      <c r="E13" s="249"/>
      <c r="F13" s="249"/>
      <c r="G13" s="249"/>
      <c r="H13" s="249" t="s">
        <v>21</v>
      </c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192">
        <v>60</v>
      </c>
      <c r="V13" s="192"/>
      <c r="W13" s="192"/>
      <c r="X13" s="193" t="s">
        <v>9</v>
      </c>
      <c r="Y13" s="193"/>
      <c r="Z13" s="194"/>
      <c r="AA13" s="194"/>
      <c r="AB13" s="194"/>
      <c r="AC13" s="250"/>
    </row>
    <row r="14" ht="21.75" customHeight="1" spans="2:29">
      <c r="B14" s="188">
        <v>8</v>
      </c>
      <c r="C14" s="189"/>
      <c r="D14" s="251">
        <v>3914407</v>
      </c>
      <c r="E14" s="251"/>
      <c r="F14" s="251"/>
      <c r="G14" s="251"/>
      <c r="H14" s="249" t="s">
        <v>22</v>
      </c>
      <c r="I14" s="249"/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192">
        <v>80</v>
      </c>
      <c r="V14" s="192"/>
      <c r="W14" s="192"/>
      <c r="X14" s="193" t="s">
        <v>9</v>
      </c>
      <c r="Y14" s="193"/>
      <c r="Z14" s="194"/>
      <c r="AA14" s="194"/>
      <c r="AB14" s="194"/>
      <c r="AC14" s="250"/>
    </row>
    <row r="15" ht="21.75" customHeight="1" spans="2:29">
      <c r="B15" s="188">
        <v>9</v>
      </c>
      <c r="C15" s="189"/>
      <c r="D15" s="251">
        <v>3902023</v>
      </c>
      <c r="E15" s="251"/>
      <c r="F15" s="251"/>
      <c r="G15" s="251"/>
      <c r="H15" s="249" t="s">
        <v>23</v>
      </c>
      <c r="I15" s="249"/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192">
        <v>100</v>
      </c>
      <c r="V15" s="192"/>
      <c r="W15" s="192"/>
      <c r="X15" s="193" t="s">
        <v>9</v>
      </c>
      <c r="Y15" s="193"/>
      <c r="Z15" s="194"/>
      <c r="AA15" s="194"/>
      <c r="AB15" s="194"/>
      <c r="AC15" s="250"/>
    </row>
    <row r="16" ht="21.75" customHeight="1" spans="2:29">
      <c r="B16" s="188">
        <v>10</v>
      </c>
      <c r="C16" s="189"/>
      <c r="D16" s="251">
        <v>3903834</v>
      </c>
      <c r="E16" s="251"/>
      <c r="F16" s="251"/>
      <c r="G16" s="251"/>
      <c r="H16" s="249" t="s">
        <v>24</v>
      </c>
      <c r="I16" s="249"/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192">
        <v>100</v>
      </c>
      <c r="V16" s="192"/>
      <c r="W16" s="192"/>
      <c r="X16" s="193" t="s">
        <v>9</v>
      </c>
      <c r="Y16" s="193"/>
      <c r="Z16" s="194"/>
      <c r="AA16" s="194"/>
      <c r="AB16" s="194"/>
      <c r="AC16" s="250"/>
    </row>
    <row r="17" ht="21.75" customHeight="1" spans="2:29">
      <c r="B17" s="188">
        <v>11</v>
      </c>
      <c r="C17" s="189"/>
      <c r="D17" s="251">
        <v>3900632</v>
      </c>
      <c r="E17" s="251"/>
      <c r="F17" s="251"/>
      <c r="G17" s="251"/>
      <c r="H17" s="249" t="s">
        <v>25</v>
      </c>
      <c r="I17" s="249"/>
      <c r="J17" s="249"/>
      <c r="K17" s="249"/>
      <c r="L17" s="249"/>
      <c r="M17" s="249"/>
      <c r="N17" s="249"/>
      <c r="O17" s="249"/>
      <c r="P17" s="249"/>
      <c r="Q17" s="249"/>
      <c r="R17" s="249"/>
      <c r="S17" s="249"/>
      <c r="T17" s="249"/>
      <c r="U17" s="192">
        <v>300</v>
      </c>
      <c r="V17" s="192"/>
      <c r="W17" s="192"/>
      <c r="X17" s="193" t="s">
        <v>9</v>
      </c>
      <c r="Y17" s="193"/>
      <c r="Z17" s="194"/>
      <c r="AA17" s="194"/>
      <c r="AB17" s="194"/>
      <c r="AC17" s="250"/>
    </row>
    <row r="18" ht="21.75" customHeight="1" spans="2:29">
      <c r="B18" s="188">
        <v>12</v>
      </c>
      <c r="C18" s="189"/>
      <c r="D18" s="249" t="s">
        <v>26</v>
      </c>
      <c r="E18" s="249"/>
      <c r="F18" s="249"/>
      <c r="G18" s="249"/>
      <c r="H18" s="249" t="s">
        <v>27</v>
      </c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192">
        <v>60</v>
      </c>
      <c r="V18" s="192"/>
      <c r="W18" s="192"/>
      <c r="X18" s="193" t="s">
        <v>9</v>
      </c>
      <c r="Y18" s="193"/>
      <c r="Z18" s="194"/>
      <c r="AA18" s="194"/>
      <c r="AB18" s="194"/>
      <c r="AC18" s="250"/>
    </row>
    <row r="19" customHeight="1" spans="2:29">
      <c r="B19" s="188">
        <v>13</v>
      </c>
      <c r="C19" s="189"/>
      <c r="D19" s="251">
        <v>5404057</v>
      </c>
      <c r="E19" s="251"/>
      <c r="F19" s="251"/>
      <c r="G19" s="251"/>
      <c r="H19" s="249" t="s">
        <v>28</v>
      </c>
      <c r="I19" s="249"/>
      <c r="J19" s="249"/>
      <c r="K19" s="249"/>
      <c r="L19" s="249"/>
      <c r="M19" s="249"/>
      <c r="N19" s="249"/>
      <c r="O19" s="249"/>
      <c r="P19" s="249"/>
      <c r="Q19" s="249"/>
      <c r="R19" s="249"/>
      <c r="S19" s="249"/>
      <c r="T19" s="249"/>
      <c r="U19" s="192">
        <v>10</v>
      </c>
      <c r="V19" s="192"/>
      <c r="W19" s="192"/>
      <c r="X19" s="193" t="s">
        <v>9</v>
      </c>
      <c r="Y19" s="193"/>
      <c r="Z19" s="194"/>
      <c r="AA19" s="194"/>
      <c r="AB19" s="194"/>
      <c r="AC19" s="250"/>
    </row>
    <row r="20" customHeight="1" spans="2:29">
      <c r="B20" s="188">
        <v>14</v>
      </c>
      <c r="C20" s="189"/>
      <c r="D20" s="251">
        <v>5267994</v>
      </c>
      <c r="E20" s="251"/>
      <c r="F20" s="251"/>
      <c r="G20" s="251"/>
      <c r="H20" s="249" t="s">
        <v>29</v>
      </c>
      <c r="I20" s="249"/>
      <c r="J20" s="249"/>
      <c r="K20" s="249"/>
      <c r="L20" s="249"/>
      <c r="M20" s="249"/>
      <c r="N20" s="249"/>
      <c r="O20" s="249"/>
      <c r="P20" s="249"/>
      <c r="Q20" s="249"/>
      <c r="R20" s="249"/>
      <c r="S20" s="249"/>
      <c r="T20" s="249"/>
      <c r="U20" s="192">
        <v>50</v>
      </c>
      <c r="V20" s="192"/>
      <c r="W20" s="192"/>
      <c r="X20" s="193" t="s">
        <v>9</v>
      </c>
      <c r="Y20" s="193"/>
      <c r="Z20" s="194"/>
      <c r="AA20" s="194"/>
      <c r="AB20" s="194"/>
      <c r="AC20" s="250"/>
    </row>
    <row r="21" ht="21.75" customHeight="1" spans="2:29">
      <c r="B21" s="188">
        <v>15</v>
      </c>
      <c r="C21" s="189"/>
      <c r="D21" s="251">
        <v>4996250</v>
      </c>
      <c r="E21" s="251"/>
      <c r="F21" s="251"/>
      <c r="G21" s="251"/>
      <c r="H21" s="249" t="s">
        <v>30</v>
      </c>
      <c r="I21" s="249"/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192">
        <v>400</v>
      </c>
      <c r="V21" s="192"/>
      <c r="W21" s="192"/>
      <c r="X21" s="193" t="s">
        <v>9</v>
      </c>
      <c r="Y21" s="193"/>
      <c r="Z21" s="194"/>
      <c r="AA21" s="194"/>
      <c r="AB21" s="194"/>
      <c r="AC21" s="250"/>
    </row>
    <row r="22" ht="21.75" customHeight="1" spans="2:29">
      <c r="B22" s="188">
        <v>16</v>
      </c>
      <c r="C22" s="189"/>
      <c r="D22" s="251">
        <v>4946030</v>
      </c>
      <c r="E22" s="251"/>
      <c r="F22" s="251"/>
      <c r="G22" s="251"/>
      <c r="H22" s="249" t="s">
        <v>31</v>
      </c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192">
        <v>500</v>
      </c>
      <c r="V22" s="192"/>
      <c r="W22" s="192"/>
      <c r="X22" s="193" t="s">
        <v>9</v>
      </c>
      <c r="Y22" s="193"/>
      <c r="Z22" s="194"/>
      <c r="AA22" s="194"/>
      <c r="AB22" s="194"/>
      <c r="AC22" s="250"/>
    </row>
    <row r="23" ht="21.75" customHeight="1" spans="2:29">
      <c r="B23" s="188">
        <v>17</v>
      </c>
      <c r="C23" s="189"/>
      <c r="D23" s="251">
        <v>4946031</v>
      </c>
      <c r="E23" s="251"/>
      <c r="F23" s="251"/>
      <c r="G23" s="251"/>
      <c r="H23" s="249" t="s">
        <v>32</v>
      </c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192">
        <v>100</v>
      </c>
      <c r="V23" s="192"/>
      <c r="W23" s="192"/>
      <c r="X23" s="193" t="s">
        <v>9</v>
      </c>
      <c r="Y23" s="193"/>
      <c r="Z23" s="194"/>
      <c r="AA23" s="194"/>
      <c r="AB23" s="194"/>
      <c r="AC23" s="250"/>
    </row>
    <row r="24" ht="21.75" customHeight="1" spans="2:29">
      <c r="B24" s="188">
        <v>18</v>
      </c>
      <c r="C24" s="189"/>
      <c r="D24" s="249" t="s">
        <v>33</v>
      </c>
      <c r="E24" s="249"/>
      <c r="F24" s="249"/>
      <c r="G24" s="249"/>
      <c r="H24" s="249" t="s">
        <v>34</v>
      </c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192">
        <v>400</v>
      </c>
      <c r="V24" s="192"/>
      <c r="W24" s="192"/>
      <c r="X24" s="193" t="s">
        <v>9</v>
      </c>
      <c r="Y24" s="193"/>
      <c r="Z24" s="194"/>
      <c r="AA24" s="194"/>
      <c r="AB24" s="194"/>
      <c r="AC24" s="250"/>
    </row>
    <row r="25" ht="21.75" customHeight="1" spans="2:29">
      <c r="B25" s="188">
        <v>19</v>
      </c>
      <c r="C25" s="189"/>
      <c r="D25" s="249" t="s">
        <v>35</v>
      </c>
      <c r="E25" s="249"/>
      <c r="F25" s="249"/>
      <c r="G25" s="249"/>
      <c r="H25" s="249" t="s">
        <v>36</v>
      </c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192">
        <v>400</v>
      </c>
      <c r="V25" s="192"/>
      <c r="W25" s="192"/>
      <c r="X25" s="193" t="s">
        <v>9</v>
      </c>
      <c r="Y25" s="193"/>
      <c r="Z25" s="194"/>
      <c r="AA25" s="194"/>
      <c r="AB25" s="194"/>
      <c r="AC25" s="250"/>
    </row>
    <row r="26" customHeight="1" spans="2:29">
      <c r="B26" s="188">
        <v>20</v>
      </c>
      <c r="C26" s="189"/>
      <c r="D26" s="251">
        <v>4995863</v>
      </c>
      <c r="E26" s="251"/>
      <c r="F26" s="251"/>
      <c r="G26" s="251"/>
      <c r="H26" s="249" t="s">
        <v>37</v>
      </c>
      <c r="I26" s="249"/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192">
        <v>20</v>
      </c>
      <c r="V26" s="192"/>
      <c r="W26" s="192"/>
      <c r="X26" s="193" t="s">
        <v>9</v>
      </c>
      <c r="Y26" s="193"/>
      <c r="Z26" s="194"/>
      <c r="AA26" s="194"/>
      <c r="AB26" s="194"/>
      <c r="AC26" s="250"/>
    </row>
    <row r="27" customHeight="1" spans="2:29">
      <c r="B27" s="188">
        <v>21</v>
      </c>
      <c r="C27" s="189"/>
      <c r="D27" s="251">
        <v>5272634</v>
      </c>
      <c r="E27" s="251"/>
      <c r="F27" s="251"/>
      <c r="G27" s="251"/>
      <c r="H27" s="249" t="s">
        <v>38</v>
      </c>
      <c r="I27" s="249"/>
      <c r="J27" s="249"/>
      <c r="K27" s="249"/>
      <c r="L27" s="249"/>
      <c r="M27" s="249"/>
      <c r="N27" s="249"/>
      <c r="O27" s="249"/>
      <c r="P27" s="249"/>
      <c r="Q27" s="249"/>
      <c r="R27" s="249"/>
      <c r="S27" s="249"/>
      <c r="T27" s="249"/>
      <c r="U27" s="192">
        <v>3</v>
      </c>
      <c r="V27" s="192"/>
      <c r="W27" s="192"/>
      <c r="X27" s="193" t="s">
        <v>9</v>
      </c>
      <c r="Y27" s="193"/>
      <c r="Z27" s="194"/>
      <c r="AA27" s="194"/>
      <c r="AB27" s="194"/>
      <c r="AC27" s="250"/>
    </row>
    <row r="28" ht="21.75" customHeight="1" spans="2:29">
      <c r="B28" s="188">
        <v>22</v>
      </c>
      <c r="C28" s="189"/>
      <c r="D28" s="249" t="s">
        <v>39</v>
      </c>
      <c r="E28" s="249"/>
      <c r="F28" s="249"/>
      <c r="G28" s="249"/>
      <c r="H28" s="249" t="s">
        <v>40</v>
      </c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192">
        <v>10</v>
      </c>
      <c r="V28" s="192"/>
      <c r="W28" s="192"/>
      <c r="X28" s="193" t="s">
        <v>9</v>
      </c>
      <c r="Y28" s="193"/>
      <c r="Z28" s="194"/>
      <c r="AA28" s="194"/>
      <c r="AB28" s="194"/>
      <c r="AC28" s="250"/>
    </row>
    <row r="29" ht="21.75" customHeight="1" spans="2:29">
      <c r="B29" s="188">
        <v>23</v>
      </c>
      <c r="C29" s="189"/>
      <c r="D29" s="249" t="s">
        <v>41</v>
      </c>
      <c r="E29" s="249"/>
      <c r="F29" s="249"/>
      <c r="G29" s="249"/>
      <c r="H29" s="249" t="s">
        <v>42</v>
      </c>
      <c r="I29" s="249"/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192">
        <v>10</v>
      </c>
      <c r="V29" s="192"/>
      <c r="W29" s="192"/>
      <c r="X29" s="193" t="s">
        <v>9</v>
      </c>
      <c r="Y29" s="193"/>
      <c r="Z29" s="194"/>
      <c r="AA29" s="194"/>
      <c r="AB29" s="194"/>
      <c r="AC29" s="250"/>
    </row>
    <row r="30" ht="21.75" customHeight="1" spans="2:29">
      <c r="B30" s="188">
        <v>24</v>
      </c>
      <c r="C30" s="189"/>
      <c r="D30" s="249" t="s">
        <v>43</v>
      </c>
      <c r="E30" s="249"/>
      <c r="F30" s="249"/>
      <c r="G30" s="249"/>
      <c r="H30" s="249" t="s">
        <v>44</v>
      </c>
      <c r="I30" s="249"/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192">
        <v>1</v>
      </c>
      <c r="V30" s="192"/>
      <c r="W30" s="192"/>
      <c r="X30" s="193" t="s">
        <v>9</v>
      </c>
      <c r="Y30" s="193"/>
      <c r="Z30" s="194"/>
      <c r="AA30" s="194"/>
      <c r="AB30" s="194"/>
      <c r="AC30" s="250"/>
    </row>
    <row r="31" ht="21.75" customHeight="1" spans="2:29">
      <c r="B31" s="188">
        <v>25</v>
      </c>
      <c r="C31" s="189"/>
      <c r="D31" s="249" t="s">
        <v>45</v>
      </c>
      <c r="E31" s="249"/>
      <c r="F31" s="249"/>
      <c r="G31" s="249"/>
      <c r="H31" s="249" t="s">
        <v>46</v>
      </c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192">
        <v>24</v>
      </c>
      <c r="V31" s="192"/>
      <c r="W31" s="192"/>
      <c r="X31" s="193" t="s">
        <v>9</v>
      </c>
      <c r="Y31" s="193"/>
      <c r="Z31" s="194"/>
      <c r="AA31" s="194"/>
      <c r="AB31" s="194"/>
      <c r="AC31" s="250"/>
    </row>
    <row r="32" ht="21.75" customHeight="1" spans="2:29">
      <c r="B32" s="188">
        <v>26</v>
      </c>
      <c r="C32" s="189"/>
      <c r="D32" s="249" t="s">
        <v>47</v>
      </c>
      <c r="E32" s="249"/>
      <c r="F32" s="249"/>
      <c r="G32" s="249"/>
      <c r="H32" s="249" t="s">
        <v>48</v>
      </c>
      <c r="I32" s="249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192">
        <v>20</v>
      </c>
      <c r="V32" s="192"/>
      <c r="W32" s="192"/>
      <c r="X32" s="193" t="s">
        <v>9</v>
      </c>
      <c r="Y32" s="193"/>
      <c r="Z32" s="194"/>
      <c r="AA32" s="194"/>
      <c r="AB32" s="194"/>
      <c r="AC32" s="250"/>
    </row>
    <row r="33" ht="21.75" customHeight="1" spans="2:29">
      <c r="B33" s="188">
        <v>27</v>
      </c>
      <c r="C33" s="189"/>
      <c r="D33" s="251">
        <v>5491326</v>
      </c>
      <c r="E33" s="251"/>
      <c r="F33" s="251"/>
      <c r="G33" s="251"/>
      <c r="H33" s="249" t="s">
        <v>49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192">
        <v>20</v>
      </c>
      <c r="V33" s="192"/>
      <c r="W33" s="192"/>
      <c r="X33" s="193" t="s">
        <v>9</v>
      </c>
      <c r="Y33" s="193"/>
      <c r="Z33" s="194"/>
      <c r="AA33" s="194"/>
      <c r="AB33" s="194"/>
      <c r="AC33" s="250"/>
    </row>
    <row r="34" ht="21.75" customHeight="1" spans="2:29">
      <c r="B34" s="188">
        <v>28</v>
      </c>
      <c r="C34" s="189"/>
      <c r="D34" s="251">
        <v>5313379</v>
      </c>
      <c r="E34" s="251"/>
      <c r="F34" s="251"/>
      <c r="G34" s="251"/>
      <c r="H34" s="249" t="s">
        <v>50</v>
      </c>
      <c r="I34" s="249"/>
      <c r="J34" s="249"/>
      <c r="K34" s="249"/>
      <c r="L34" s="249"/>
      <c r="M34" s="249"/>
      <c r="N34" s="249"/>
      <c r="O34" s="249"/>
      <c r="P34" s="249"/>
      <c r="Q34" s="249"/>
      <c r="R34" s="249"/>
      <c r="S34" s="249"/>
      <c r="T34" s="249"/>
      <c r="U34" s="192">
        <v>2</v>
      </c>
      <c r="V34" s="192"/>
      <c r="W34" s="192"/>
      <c r="X34" s="193" t="s">
        <v>9</v>
      </c>
      <c r="Y34" s="193"/>
      <c r="Z34" s="194"/>
      <c r="AA34" s="194"/>
      <c r="AB34" s="194"/>
      <c r="AC34" s="250"/>
    </row>
    <row r="35" ht="21.75" customHeight="1" spans="2:29">
      <c r="B35" s="188">
        <v>29</v>
      </c>
      <c r="C35" s="189"/>
      <c r="D35" s="249" t="s">
        <v>51</v>
      </c>
      <c r="E35" s="249"/>
      <c r="F35" s="249"/>
      <c r="G35" s="249"/>
      <c r="H35" s="249" t="s">
        <v>52</v>
      </c>
      <c r="I35" s="249"/>
      <c r="J35" s="249"/>
      <c r="K35" s="249"/>
      <c r="L35" s="249"/>
      <c r="M35" s="249"/>
      <c r="N35" s="249"/>
      <c r="O35" s="249"/>
      <c r="P35" s="249"/>
      <c r="Q35" s="249"/>
      <c r="R35" s="249"/>
      <c r="S35" s="249"/>
      <c r="T35" s="249"/>
      <c r="U35" s="192">
        <v>4</v>
      </c>
      <c r="V35" s="192"/>
      <c r="W35" s="192"/>
      <c r="X35" s="193" t="s">
        <v>9</v>
      </c>
      <c r="Y35" s="193"/>
      <c r="Z35" s="194"/>
      <c r="AA35" s="194"/>
      <c r="AB35" s="194"/>
      <c r="AC35" s="250"/>
    </row>
    <row r="36" customHeight="1" spans="2:29">
      <c r="B36" s="188">
        <v>30</v>
      </c>
      <c r="C36" s="189"/>
      <c r="D36" s="251">
        <v>3920706</v>
      </c>
      <c r="E36" s="251"/>
      <c r="F36" s="251"/>
      <c r="G36" s="251"/>
      <c r="H36" s="249" t="s">
        <v>53</v>
      </c>
      <c r="I36" s="249"/>
      <c r="J36" s="249"/>
      <c r="K36" s="249"/>
      <c r="L36" s="249"/>
      <c r="M36" s="249"/>
      <c r="N36" s="249"/>
      <c r="O36" s="249"/>
      <c r="P36" s="249"/>
      <c r="Q36" s="249"/>
      <c r="R36" s="249"/>
      <c r="S36" s="249"/>
      <c r="T36" s="249"/>
      <c r="U36" s="192">
        <v>700</v>
      </c>
      <c r="V36" s="192"/>
      <c r="W36" s="192"/>
      <c r="X36" s="193" t="s">
        <v>9</v>
      </c>
      <c r="Y36" s="193"/>
      <c r="Z36" s="194"/>
      <c r="AA36" s="194"/>
      <c r="AB36" s="194"/>
      <c r="AC36" s="250"/>
    </row>
    <row r="37" ht="21.75" customHeight="1" spans="2:29">
      <c r="B37" s="188">
        <v>31</v>
      </c>
      <c r="C37" s="189"/>
      <c r="D37" s="251">
        <v>5302031</v>
      </c>
      <c r="E37" s="251"/>
      <c r="F37" s="251"/>
      <c r="G37" s="251"/>
      <c r="H37" s="249" t="s">
        <v>54</v>
      </c>
      <c r="I37" s="249"/>
      <c r="J37" s="249"/>
      <c r="K37" s="249"/>
      <c r="L37" s="249"/>
      <c r="M37" s="249"/>
      <c r="N37" s="249"/>
      <c r="O37" s="249"/>
      <c r="P37" s="249"/>
      <c r="Q37" s="249"/>
      <c r="R37" s="249"/>
      <c r="S37" s="249"/>
      <c r="T37" s="249"/>
      <c r="U37" s="192">
        <v>7</v>
      </c>
      <c r="V37" s="192"/>
      <c r="W37" s="192"/>
      <c r="X37" s="193" t="s">
        <v>9</v>
      </c>
      <c r="Y37" s="193"/>
      <c r="Z37" s="194"/>
      <c r="AA37" s="194"/>
      <c r="AB37" s="194"/>
      <c r="AC37" s="250"/>
    </row>
    <row r="38" ht="21.75" customHeight="1" spans="2:29">
      <c r="B38" s="188">
        <v>32</v>
      </c>
      <c r="C38" s="189"/>
      <c r="D38" s="251">
        <v>5302123</v>
      </c>
      <c r="E38" s="251"/>
      <c r="F38" s="251"/>
      <c r="G38" s="251"/>
      <c r="H38" s="249" t="s">
        <v>55</v>
      </c>
      <c r="I38" s="249"/>
      <c r="J38" s="249"/>
      <c r="K38" s="249"/>
      <c r="L38" s="249"/>
      <c r="M38" s="249"/>
      <c r="N38" s="249"/>
      <c r="O38" s="249"/>
      <c r="P38" s="249"/>
      <c r="Q38" s="249"/>
      <c r="R38" s="249"/>
      <c r="S38" s="249"/>
      <c r="T38" s="249"/>
      <c r="U38" s="192">
        <v>60</v>
      </c>
      <c r="V38" s="192"/>
      <c r="W38" s="192"/>
      <c r="X38" s="193" t="s">
        <v>9</v>
      </c>
      <c r="Y38" s="193"/>
      <c r="Z38" s="194"/>
      <c r="AA38" s="194"/>
      <c r="AB38" s="194"/>
      <c r="AC38" s="250"/>
    </row>
    <row r="39" customHeight="1" spans="2:29">
      <c r="B39" s="188">
        <v>33</v>
      </c>
      <c r="C39" s="189"/>
      <c r="D39" s="251">
        <v>5369836</v>
      </c>
      <c r="E39" s="251"/>
      <c r="F39" s="251"/>
      <c r="G39" s="251"/>
      <c r="H39" s="249" t="s">
        <v>56</v>
      </c>
      <c r="I39" s="249"/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  <c r="U39" s="192">
        <v>15</v>
      </c>
      <c r="V39" s="192"/>
      <c r="W39" s="192"/>
      <c r="X39" s="193" t="s">
        <v>9</v>
      </c>
      <c r="Y39" s="193"/>
      <c r="Z39" s="194"/>
      <c r="AA39" s="194"/>
      <c r="AB39" s="194"/>
      <c r="AC39" s="250"/>
    </row>
    <row r="40" ht="21.75" customHeight="1" spans="2:29">
      <c r="B40" s="188">
        <v>34</v>
      </c>
      <c r="C40" s="189"/>
      <c r="D40" s="249" t="s">
        <v>57</v>
      </c>
      <c r="E40" s="249"/>
      <c r="F40" s="249"/>
      <c r="G40" s="249"/>
      <c r="H40" s="249" t="s">
        <v>58</v>
      </c>
      <c r="I40" s="249"/>
      <c r="J40" s="249"/>
      <c r="K40" s="249"/>
      <c r="L40" s="249"/>
      <c r="M40" s="249"/>
      <c r="N40" s="249"/>
      <c r="O40" s="249"/>
      <c r="P40" s="249"/>
      <c r="Q40" s="249"/>
      <c r="R40" s="249"/>
      <c r="S40" s="249"/>
      <c r="T40" s="249"/>
      <c r="U40" s="192">
        <v>128</v>
      </c>
      <c r="V40" s="192"/>
      <c r="W40" s="192"/>
      <c r="X40" s="193" t="s">
        <v>9</v>
      </c>
      <c r="Y40" s="193"/>
      <c r="Z40" s="194"/>
      <c r="AA40" s="194"/>
      <c r="AB40" s="194"/>
      <c r="AC40" s="250"/>
    </row>
    <row r="41" customHeight="1" spans="2:29">
      <c r="B41" s="188">
        <v>35</v>
      </c>
      <c r="C41" s="189"/>
      <c r="D41" s="249" t="s">
        <v>59</v>
      </c>
      <c r="E41" s="249"/>
      <c r="F41" s="249"/>
      <c r="G41" s="249"/>
      <c r="H41" s="249" t="s">
        <v>60</v>
      </c>
      <c r="I41" s="249"/>
      <c r="J41" s="249"/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192">
        <v>30</v>
      </c>
      <c r="V41" s="192"/>
      <c r="W41" s="192"/>
      <c r="X41" s="193" t="s">
        <v>9</v>
      </c>
      <c r="Y41" s="193"/>
      <c r="Z41" s="194"/>
      <c r="AA41" s="194"/>
      <c r="AB41" s="194"/>
      <c r="AC41" s="250"/>
    </row>
    <row r="42" customHeight="1" spans="2:29">
      <c r="B42" s="188">
        <v>36</v>
      </c>
      <c r="C42" s="189"/>
      <c r="D42" s="251">
        <v>4988653</v>
      </c>
      <c r="E42" s="251"/>
      <c r="F42" s="251"/>
      <c r="G42" s="251"/>
      <c r="H42" s="249" t="s">
        <v>61</v>
      </c>
      <c r="I42" s="249"/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192">
        <v>14</v>
      </c>
      <c r="V42" s="192"/>
      <c r="W42" s="192"/>
      <c r="X42" s="193" t="s">
        <v>9</v>
      </c>
      <c r="Y42" s="193"/>
      <c r="Z42" s="194"/>
      <c r="AA42" s="194"/>
      <c r="AB42" s="194"/>
      <c r="AC42" s="250"/>
    </row>
    <row r="43" customHeight="1" spans="2:29">
      <c r="B43" s="188">
        <v>37</v>
      </c>
      <c r="C43" s="189"/>
      <c r="D43" s="251">
        <v>5286927</v>
      </c>
      <c r="E43" s="251"/>
      <c r="F43" s="251"/>
      <c r="G43" s="251"/>
      <c r="H43" s="249" t="s">
        <v>62</v>
      </c>
      <c r="I43" s="249"/>
      <c r="J43" s="249"/>
      <c r="K43" s="249"/>
      <c r="L43" s="249"/>
      <c r="M43" s="249"/>
      <c r="N43" s="249"/>
      <c r="O43" s="249"/>
      <c r="P43" s="249"/>
      <c r="Q43" s="249"/>
      <c r="R43" s="249"/>
      <c r="S43" s="249"/>
      <c r="T43" s="249"/>
      <c r="U43" s="192">
        <v>10</v>
      </c>
      <c r="V43" s="192"/>
      <c r="W43" s="192"/>
      <c r="X43" s="193" t="s">
        <v>9</v>
      </c>
      <c r="Y43" s="193"/>
      <c r="Z43" s="194"/>
      <c r="AA43" s="194"/>
      <c r="AB43" s="194"/>
      <c r="AC43" s="250"/>
    </row>
    <row r="44" customHeight="1" spans="2:29">
      <c r="B44" s="188">
        <v>38</v>
      </c>
      <c r="C44" s="189"/>
      <c r="D44" s="249" t="s">
        <v>63</v>
      </c>
      <c r="E44" s="249"/>
      <c r="F44" s="249"/>
      <c r="G44" s="249"/>
      <c r="H44" s="249" t="s">
        <v>64</v>
      </c>
      <c r="I44" s="249"/>
      <c r="J44" s="249"/>
      <c r="K44" s="249"/>
      <c r="L44" s="249"/>
      <c r="M44" s="249"/>
      <c r="N44" s="249"/>
      <c r="O44" s="249"/>
      <c r="P44" s="249"/>
      <c r="Q44" s="249"/>
      <c r="R44" s="249"/>
      <c r="S44" s="249"/>
      <c r="T44" s="249"/>
      <c r="U44" s="192">
        <v>160</v>
      </c>
      <c r="V44" s="192"/>
      <c r="W44" s="192"/>
      <c r="X44" s="193" t="s">
        <v>9</v>
      </c>
      <c r="Y44" s="193"/>
      <c r="Z44" s="194"/>
      <c r="AA44" s="194"/>
      <c r="AB44" s="194"/>
      <c r="AC44" s="250"/>
    </row>
    <row r="45" ht="21.75" customHeight="1" spans="2:29">
      <c r="B45" s="188">
        <v>39</v>
      </c>
      <c r="C45" s="189"/>
      <c r="D45" s="249" t="s">
        <v>65</v>
      </c>
      <c r="E45" s="249"/>
      <c r="F45" s="249"/>
      <c r="G45" s="249"/>
      <c r="H45" s="249" t="s">
        <v>66</v>
      </c>
      <c r="I45" s="249"/>
      <c r="J45" s="249"/>
      <c r="K45" s="249"/>
      <c r="L45" s="249"/>
      <c r="M45" s="249"/>
      <c r="N45" s="249"/>
      <c r="O45" s="249"/>
      <c r="P45" s="249"/>
      <c r="Q45" s="249"/>
      <c r="R45" s="249"/>
      <c r="S45" s="249"/>
      <c r="T45" s="249"/>
      <c r="U45" s="192">
        <v>544</v>
      </c>
      <c r="V45" s="192"/>
      <c r="W45" s="192"/>
      <c r="X45" s="193" t="s">
        <v>9</v>
      </c>
      <c r="Y45" s="193"/>
      <c r="Z45" s="194"/>
      <c r="AA45" s="194"/>
      <c r="AB45" s="194"/>
      <c r="AC45" s="250"/>
    </row>
    <row r="46" ht="21.75" customHeight="1" spans="2:29">
      <c r="B46" s="188">
        <v>40</v>
      </c>
      <c r="C46" s="189"/>
      <c r="D46" s="249" t="s">
        <v>67</v>
      </c>
      <c r="E46" s="249"/>
      <c r="F46" s="249"/>
      <c r="G46" s="249"/>
      <c r="H46" s="249" t="s">
        <v>68</v>
      </c>
      <c r="I46" s="249"/>
      <c r="J46" s="249"/>
      <c r="K46" s="249"/>
      <c r="L46" s="249"/>
      <c r="M46" s="249"/>
      <c r="N46" s="249"/>
      <c r="O46" s="249"/>
      <c r="P46" s="249"/>
      <c r="Q46" s="249"/>
      <c r="R46" s="249"/>
      <c r="S46" s="249"/>
      <c r="T46" s="249"/>
      <c r="U46" s="192">
        <v>700</v>
      </c>
      <c r="V46" s="192"/>
      <c r="W46" s="192"/>
      <c r="X46" s="193" t="s">
        <v>9</v>
      </c>
      <c r="Y46" s="193"/>
      <c r="Z46" s="194"/>
      <c r="AA46" s="194"/>
      <c r="AB46" s="194"/>
      <c r="AC46" s="250"/>
    </row>
    <row r="47" ht="21.75" customHeight="1" spans="2:29">
      <c r="B47" s="188">
        <v>41</v>
      </c>
      <c r="C47" s="189"/>
      <c r="D47" s="249" t="s">
        <v>69</v>
      </c>
      <c r="E47" s="249"/>
      <c r="F47" s="249"/>
      <c r="G47" s="249"/>
      <c r="H47" s="249" t="s">
        <v>70</v>
      </c>
      <c r="I47" s="249"/>
      <c r="J47" s="249"/>
      <c r="K47" s="249"/>
      <c r="L47" s="249"/>
      <c r="M47" s="249"/>
      <c r="N47" s="249"/>
      <c r="O47" s="249"/>
      <c r="P47" s="249"/>
      <c r="Q47" s="249"/>
      <c r="R47" s="249"/>
      <c r="S47" s="249"/>
      <c r="T47" s="249"/>
      <c r="U47" s="192">
        <v>100</v>
      </c>
      <c r="V47" s="192"/>
      <c r="W47" s="192"/>
      <c r="X47" s="193" t="s">
        <v>9</v>
      </c>
      <c r="Y47" s="193"/>
      <c r="Z47" s="194"/>
      <c r="AA47" s="194"/>
      <c r="AB47" s="194"/>
      <c r="AC47" s="250"/>
    </row>
    <row r="48" ht="21.75" customHeight="1" spans="2:29">
      <c r="B48" s="188">
        <v>42</v>
      </c>
      <c r="C48" s="189"/>
      <c r="D48" s="249" t="s">
        <v>71</v>
      </c>
      <c r="E48" s="249"/>
      <c r="F48" s="249"/>
      <c r="G48" s="249"/>
      <c r="H48" s="249" t="s">
        <v>72</v>
      </c>
      <c r="I48" s="249"/>
      <c r="J48" s="249"/>
      <c r="K48" s="249"/>
      <c r="L48" s="249"/>
      <c r="M48" s="249"/>
      <c r="N48" s="249"/>
      <c r="O48" s="249"/>
      <c r="P48" s="249"/>
      <c r="Q48" s="249"/>
      <c r="R48" s="249"/>
      <c r="S48" s="249"/>
      <c r="T48" s="249"/>
      <c r="U48" s="192">
        <v>500</v>
      </c>
      <c r="V48" s="192"/>
      <c r="W48" s="192"/>
      <c r="X48" s="193" t="s">
        <v>9</v>
      </c>
      <c r="Y48" s="193"/>
      <c r="Z48" s="194"/>
      <c r="AA48" s="194"/>
      <c r="AB48" s="194"/>
      <c r="AC48" s="250"/>
    </row>
    <row r="49" ht="21.75" customHeight="1" spans="2:29">
      <c r="B49" s="188">
        <v>43</v>
      </c>
      <c r="C49" s="189"/>
      <c r="D49" s="251">
        <v>3940386</v>
      </c>
      <c r="E49" s="251"/>
      <c r="F49" s="251"/>
      <c r="G49" s="251"/>
      <c r="H49" s="249" t="s">
        <v>73</v>
      </c>
      <c r="I49" s="249"/>
      <c r="J49" s="249"/>
      <c r="K49" s="249"/>
      <c r="L49" s="249"/>
      <c r="M49" s="249"/>
      <c r="N49" s="249"/>
      <c r="O49" s="249"/>
      <c r="P49" s="249"/>
      <c r="Q49" s="249"/>
      <c r="R49" s="249"/>
      <c r="S49" s="249"/>
      <c r="T49" s="249"/>
      <c r="U49" s="192">
        <v>50</v>
      </c>
      <c r="V49" s="192"/>
      <c r="W49" s="192"/>
      <c r="X49" s="193" t="s">
        <v>9</v>
      </c>
      <c r="Y49" s="193"/>
      <c r="Z49" s="194"/>
      <c r="AA49" s="194"/>
      <c r="AB49" s="194"/>
      <c r="AC49" s="250"/>
    </row>
    <row r="50" ht="21.75" customHeight="1" spans="2:29">
      <c r="B50" s="188">
        <v>44</v>
      </c>
      <c r="C50" s="189"/>
      <c r="D50" s="251">
        <v>4995185</v>
      </c>
      <c r="E50" s="251"/>
      <c r="F50" s="251"/>
      <c r="G50" s="251"/>
      <c r="H50" s="249" t="s">
        <v>74</v>
      </c>
      <c r="I50" s="249"/>
      <c r="J50" s="249"/>
      <c r="K50" s="249"/>
      <c r="L50" s="249"/>
      <c r="M50" s="249"/>
      <c r="N50" s="249"/>
      <c r="O50" s="249"/>
      <c r="P50" s="249"/>
      <c r="Q50" s="249"/>
      <c r="R50" s="249"/>
      <c r="S50" s="249"/>
      <c r="T50" s="249"/>
      <c r="U50" s="192">
        <v>200</v>
      </c>
      <c r="V50" s="192"/>
      <c r="W50" s="192"/>
      <c r="X50" s="193" t="s">
        <v>9</v>
      </c>
      <c r="Y50" s="193"/>
      <c r="Z50" s="194"/>
      <c r="AA50" s="194"/>
      <c r="AB50" s="194"/>
      <c r="AC50" s="250"/>
    </row>
    <row r="51" ht="21.75" customHeight="1" spans="2:29">
      <c r="B51" s="188">
        <v>45</v>
      </c>
      <c r="C51" s="189"/>
      <c r="D51" s="251">
        <v>5265277</v>
      </c>
      <c r="E51" s="251"/>
      <c r="F51" s="251"/>
      <c r="G51" s="251"/>
      <c r="H51" s="249" t="s">
        <v>75</v>
      </c>
      <c r="I51" s="249"/>
      <c r="J51" s="249"/>
      <c r="K51" s="249"/>
      <c r="L51" s="249"/>
      <c r="M51" s="249"/>
      <c r="N51" s="249"/>
      <c r="O51" s="249"/>
      <c r="P51" s="249"/>
      <c r="Q51" s="249"/>
      <c r="R51" s="249"/>
      <c r="S51" s="249"/>
      <c r="T51" s="249"/>
      <c r="U51" s="192">
        <v>300</v>
      </c>
      <c r="V51" s="192"/>
      <c r="W51" s="192"/>
      <c r="X51" s="193" t="s">
        <v>9</v>
      </c>
      <c r="Y51" s="193"/>
      <c r="Z51" s="194"/>
      <c r="AA51" s="194"/>
      <c r="AB51" s="194"/>
      <c r="AC51" s="250"/>
    </row>
    <row r="52" ht="21.75" customHeight="1" spans="2:29">
      <c r="B52" s="188">
        <v>46</v>
      </c>
      <c r="C52" s="189"/>
      <c r="D52" s="249" t="s">
        <v>76</v>
      </c>
      <c r="E52" s="249"/>
      <c r="F52" s="249"/>
      <c r="G52" s="249"/>
      <c r="H52" s="249" t="s">
        <v>77</v>
      </c>
      <c r="I52" s="249"/>
      <c r="J52" s="249"/>
      <c r="K52" s="249"/>
      <c r="L52" s="249"/>
      <c r="M52" s="249"/>
      <c r="N52" s="249"/>
      <c r="O52" s="249"/>
      <c r="P52" s="249"/>
      <c r="Q52" s="249"/>
      <c r="R52" s="249"/>
      <c r="S52" s="249"/>
      <c r="T52" s="249"/>
      <c r="U52" s="192">
        <v>3</v>
      </c>
      <c r="V52" s="192"/>
      <c r="W52" s="192"/>
      <c r="X52" s="193" t="s">
        <v>78</v>
      </c>
      <c r="Y52" s="193"/>
      <c r="Z52" s="194"/>
      <c r="AA52" s="194"/>
      <c r="AB52" s="194"/>
      <c r="AC52" s="250"/>
    </row>
    <row r="53" ht="21.75" customHeight="1" spans="2:29">
      <c r="B53" s="188">
        <v>47</v>
      </c>
      <c r="C53" s="189"/>
      <c r="D53" s="249" t="s">
        <v>79</v>
      </c>
      <c r="E53" s="249"/>
      <c r="F53" s="249"/>
      <c r="G53" s="249"/>
      <c r="H53" s="249" t="s">
        <v>80</v>
      </c>
      <c r="I53" s="249"/>
      <c r="J53" s="249"/>
      <c r="K53" s="249"/>
      <c r="L53" s="249"/>
      <c r="M53" s="249"/>
      <c r="N53" s="249"/>
      <c r="O53" s="249"/>
      <c r="P53" s="249"/>
      <c r="Q53" s="249"/>
      <c r="R53" s="249"/>
      <c r="S53" s="249"/>
      <c r="T53" s="249"/>
      <c r="U53" s="192">
        <v>20</v>
      </c>
      <c r="V53" s="192"/>
      <c r="W53" s="192"/>
      <c r="X53" s="193" t="s">
        <v>78</v>
      </c>
      <c r="Y53" s="193"/>
      <c r="Z53" s="194"/>
      <c r="AA53" s="194"/>
      <c r="AB53" s="194"/>
      <c r="AC53" s="250"/>
    </row>
    <row r="54" ht="21.75" customHeight="1" spans="2:29">
      <c r="B54" s="188">
        <v>48</v>
      </c>
      <c r="C54" s="189"/>
      <c r="D54" s="249" t="s">
        <v>81</v>
      </c>
      <c r="E54" s="249"/>
      <c r="F54" s="249"/>
      <c r="G54" s="249"/>
      <c r="H54" s="249" t="s">
        <v>82</v>
      </c>
      <c r="I54" s="249"/>
      <c r="J54" s="249"/>
      <c r="K54" s="249"/>
      <c r="L54" s="249"/>
      <c r="M54" s="249"/>
      <c r="N54" s="249"/>
      <c r="O54" s="249"/>
      <c r="P54" s="249"/>
      <c r="Q54" s="249"/>
      <c r="R54" s="249"/>
      <c r="S54" s="249"/>
      <c r="T54" s="249"/>
      <c r="U54" s="192">
        <v>5</v>
      </c>
      <c r="V54" s="192"/>
      <c r="W54" s="192"/>
      <c r="X54" s="193" t="s">
        <v>78</v>
      </c>
      <c r="Y54" s="193"/>
      <c r="Z54" s="194"/>
      <c r="AA54" s="194"/>
      <c r="AB54" s="194"/>
      <c r="AC54" s="250"/>
    </row>
    <row r="55" ht="21.75" customHeight="1" spans="2:29">
      <c r="B55" s="188">
        <v>49</v>
      </c>
      <c r="C55" s="189"/>
      <c r="D55" s="249" t="s">
        <v>83</v>
      </c>
      <c r="E55" s="249"/>
      <c r="F55" s="249"/>
      <c r="G55" s="249"/>
      <c r="H55" s="249" t="s">
        <v>84</v>
      </c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192">
        <v>70</v>
      </c>
      <c r="V55" s="192"/>
      <c r="W55" s="192"/>
      <c r="X55" s="193" t="s">
        <v>78</v>
      </c>
      <c r="Y55" s="193"/>
      <c r="Z55" s="194"/>
      <c r="AA55" s="194"/>
      <c r="AB55" s="194"/>
      <c r="AC55" s="250"/>
    </row>
    <row r="56" ht="21.75" customHeight="1" spans="2:29">
      <c r="B56" s="188">
        <v>50</v>
      </c>
      <c r="C56" s="189"/>
      <c r="D56" s="249" t="s">
        <v>85</v>
      </c>
      <c r="E56" s="249"/>
      <c r="F56" s="249"/>
      <c r="G56" s="249"/>
      <c r="H56" s="249" t="s">
        <v>86</v>
      </c>
      <c r="I56" s="249"/>
      <c r="J56" s="249"/>
      <c r="K56" s="249"/>
      <c r="L56" s="249"/>
      <c r="M56" s="249"/>
      <c r="N56" s="249"/>
      <c r="O56" s="249"/>
      <c r="P56" s="249"/>
      <c r="Q56" s="249"/>
      <c r="R56" s="249"/>
      <c r="S56" s="249"/>
      <c r="T56" s="249"/>
      <c r="U56" s="192">
        <v>8</v>
      </c>
      <c r="V56" s="192"/>
      <c r="W56" s="192"/>
      <c r="X56" s="193" t="s">
        <v>78</v>
      </c>
      <c r="Y56" s="193"/>
      <c r="Z56" s="194"/>
      <c r="AA56" s="194"/>
      <c r="AB56" s="194"/>
      <c r="AC56" s="250"/>
    </row>
    <row r="57" ht="32.25" customHeight="1" spans="2:29">
      <c r="B57" s="188">
        <v>51</v>
      </c>
      <c r="C57" s="189"/>
      <c r="D57" s="249" t="s">
        <v>87</v>
      </c>
      <c r="E57" s="249"/>
      <c r="F57" s="249"/>
      <c r="G57" s="249"/>
      <c r="H57" s="249" t="s">
        <v>88</v>
      </c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192">
        <v>10</v>
      </c>
      <c r="V57" s="192"/>
      <c r="W57" s="192"/>
      <c r="X57" s="193" t="s">
        <v>9</v>
      </c>
      <c r="Y57" s="193"/>
      <c r="Z57" s="194"/>
      <c r="AA57" s="194"/>
      <c r="AB57" s="194"/>
      <c r="AC57" s="250"/>
    </row>
    <row r="58" customHeight="1" spans="2:29">
      <c r="B58" s="188">
        <v>52</v>
      </c>
      <c r="C58" s="189"/>
      <c r="D58" s="249" t="s">
        <v>89</v>
      </c>
      <c r="E58" s="249"/>
      <c r="F58" s="249"/>
      <c r="G58" s="249"/>
      <c r="H58" s="249" t="s">
        <v>90</v>
      </c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192">
        <v>36</v>
      </c>
      <c r="V58" s="192"/>
      <c r="W58" s="192"/>
      <c r="X58" s="193" t="s">
        <v>9</v>
      </c>
      <c r="Y58" s="193"/>
      <c r="Z58" s="194"/>
      <c r="AA58" s="194"/>
      <c r="AB58" s="194"/>
      <c r="AC58" s="250"/>
    </row>
    <row r="59" ht="21.75" customHeight="1" spans="2:29">
      <c r="B59" s="188">
        <v>53</v>
      </c>
      <c r="C59" s="189"/>
      <c r="D59" s="251">
        <v>5271540</v>
      </c>
      <c r="E59" s="251"/>
      <c r="F59" s="251"/>
      <c r="G59" s="251"/>
      <c r="H59" s="249" t="s">
        <v>91</v>
      </c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192">
        <v>28</v>
      </c>
      <c r="V59" s="192"/>
      <c r="W59" s="192"/>
      <c r="X59" s="193" t="s">
        <v>9</v>
      </c>
      <c r="Y59" s="193"/>
      <c r="Z59" s="194"/>
      <c r="AA59" s="194"/>
      <c r="AB59" s="194"/>
      <c r="AC59" s="250"/>
    </row>
    <row r="60" ht="21.75" customHeight="1" spans="2:29">
      <c r="B60" s="188">
        <v>54</v>
      </c>
      <c r="C60" s="189"/>
      <c r="D60" s="251">
        <v>5271539</v>
      </c>
      <c r="E60" s="251"/>
      <c r="F60" s="251"/>
      <c r="G60" s="251"/>
      <c r="H60" s="249" t="s">
        <v>92</v>
      </c>
      <c r="I60" s="249"/>
      <c r="J60" s="249"/>
      <c r="K60" s="249"/>
      <c r="L60" s="249"/>
      <c r="M60" s="249"/>
      <c r="N60" s="249"/>
      <c r="O60" s="249"/>
      <c r="P60" s="249"/>
      <c r="Q60" s="249"/>
      <c r="R60" s="249"/>
      <c r="S60" s="249"/>
      <c r="T60" s="249"/>
      <c r="U60" s="192">
        <v>32</v>
      </c>
      <c r="V60" s="192"/>
      <c r="W60" s="192"/>
      <c r="X60" s="193" t="s">
        <v>9</v>
      </c>
      <c r="Y60" s="193"/>
      <c r="Z60" s="194"/>
      <c r="AA60" s="194"/>
      <c r="AB60" s="194"/>
      <c r="AC60" s="250"/>
    </row>
    <row r="61" ht="21.75" customHeight="1" spans="2:29">
      <c r="B61" s="188">
        <v>55</v>
      </c>
      <c r="C61" s="189"/>
      <c r="D61" s="249" t="s">
        <v>93</v>
      </c>
      <c r="E61" s="249"/>
      <c r="F61" s="249"/>
      <c r="G61" s="249"/>
      <c r="H61" s="249" t="s">
        <v>94</v>
      </c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192">
        <v>10</v>
      </c>
      <c r="V61" s="192"/>
      <c r="W61" s="192"/>
      <c r="X61" s="193" t="s">
        <v>9</v>
      </c>
      <c r="Y61" s="193"/>
      <c r="Z61" s="194"/>
      <c r="AA61" s="194"/>
      <c r="AB61" s="194"/>
      <c r="AC61" s="250"/>
    </row>
    <row r="62" customHeight="1" spans="2:29">
      <c r="B62" s="188">
        <v>56</v>
      </c>
      <c r="C62" s="189"/>
      <c r="D62" s="251">
        <v>5303573</v>
      </c>
      <c r="E62" s="251"/>
      <c r="F62" s="251"/>
      <c r="G62" s="251"/>
      <c r="H62" s="249" t="s">
        <v>95</v>
      </c>
      <c r="I62" s="249"/>
      <c r="J62" s="249"/>
      <c r="K62" s="249"/>
      <c r="L62" s="249"/>
      <c r="M62" s="249"/>
      <c r="N62" s="249"/>
      <c r="O62" s="249"/>
      <c r="P62" s="249"/>
      <c r="Q62" s="249"/>
      <c r="R62" s="249"/>
      <c r="S62" s="249"/>
      <c r="T62" s="249"/>
      <c r="U62" s="192">
        <v>25</v>
      </c>
      <c r="V62" s="192"/>
      <c r="W62" s="192"/>
      <c r="X62" s="193" t="s">
        <v>9</v>
      </c>
      <c r="Y62" s="193"/>
      <c r="Z62" s="194"/>
      <c r="AA62" s="194"/>
      <c r="AB62" s="194"/>
      <c r="AC62" s="250"/>
    </row>
    <row r="63" ht="32.25" customHeight="1" spans="2:29">
      <c r="B63" s="188">
        <v>57</v>
      </c>
      <c r="C63" s="189"/>
      <c r="D63" s="249" t="s">
        <v>96</v>
      </c>
      <c r="E63" s="249"/>
      <c r="F63" s="249"/>
      <c r="G63" s="249"/>
      <c r="H63" s="249" t="s">
        <v>97</v>
      </c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192">
        <v>4</v>
      </c>
      <c r="V63" s="192"/>
      <c r="W63" s="192"/>
      <c r="X63" s="193" t="s">
        <v>9</v>
      </c>
      <c r="Y63" s="193"/>
      <c r="Z63" s="194"/>
      <c r="AA63" s="194"/>
      <c r="AB63" s="194"/>
      <c r="AC63" s="250"/>
    </row>
    <row r="64" ht="21.75" customHeight="1" spans="2:29">
      <c r="B64" s="188">
        <v>58</v>
      </c>
      <c r="C64" s="189"/>
      <c r="D64" s="249" t="s">
        <v>98</v>
      </c>
      <c r="E64" s="249"/>
      <c r="F64" s="249"/>
      <c r="G64" s="249"/>
      <c r="H64" s="249" t="s">
        <v>99</v>
      </c>
      <c r="I64" s="249"/>
      <c r="J64" s="249"/>
      <c r="K64" s="249"/>
      <c r="L64" s="249"/>
      <c r="M64" s="249"/>
      <c r="N64" s="249"/>
      <c r="O64" s="249"/>
      <c r="P64" s="249"/>
      <c r="Q64" s="249"/>
      <c r="R64" s="249"/>
      <c r="S64" s="249"/>
      <c r="T64" s="249"/>
      <c r="U64" s="192">
        <v>20</v>
      </c>
      <c r="V64" s="192"/>
      <c r="W64" s="192"/>
      <c r="X64" s="193" t="s">
        <v>9</v>
      </c>
      <c r="Y64" s="193"/>
      <c r="Z64" s="194"/>
      <c r="AA64" s="194"/>
      <c r="AB64" s="194"/>
      <c r="AC64" s="250"/>
    </row>
    <row r="65" customHeight="1" spans="2:29">
      <c r="B65" s="188">
        <v>59</v>
      </c>
      <c r="C65" s="189"/>
      <c r="D65" s="251">
        <v>5262617</v>
      </c>
      <c r="E65" s="251"/>
      <c r="F65" s="251"/>
      <c r="G65" s="251"/>
      <c r="H65" s="249" t="s">
        <v>100</v>
      </c>
      <c r="I65" s="249"/>
      <c r="J65" s="249"/>
      <c r="K65" s="249"/>
      <c r="L65" s="249"/>
      <c r="M65" s="249"/>
      <c r="N65" s="249"/>
      <c r="O65" s="249"/>
      <c r="P65" s="249"/>
      <c r="Q65" s="249"/>
      <c r="R65" s="249"/>
      <c r="S65" s="249"/>
      <c r="T65" s="249"/>
      <c r="U65" s="192">
        <v>60</v>
      </c>
      <c r="V65" s="192"/>
      <c r="W65" s="192"/>
      <c r="X65" s="193" t="s">
        <v>9</v>
      </c>
      <c r="Y65" s="193"/>
      <c r="Z65" s="194"/>
      <c r="AA65" s="194"/>
      <c r="AB65" s="194"/>
      <c r="AC65" s="250"/>
    </row>
    <row r="66" customHeight="1" spans="2:29">
      <c r="B66" s="188">
        <v>60</v>
      </c>
      <c r="C66" s="189"/>
      <c r="D66" s="251">
        <v>5262620</v>
      </c>
      <c r="E66" s="251"/>
      <c r="F66" s="251"/>
      <c r="G66" s="251"/>
      <c r="H66" s="249" t="s">
        <v>101</v>
      </c>
      <c r="I66" s="249"/>
      <c r="J66" s="249"/>
      <c r="K66" s="249"/>
      <c r="L66" s="249"/>
      <c r="M66" s="249"/>
      <c r="N66" s="249"/>
      <c r="O66" s="249"/>
      <c r="P66" s="249"/>
      <c r="Q66" s="249"/>
      <c r="R66" s="249"/>
      <c r="S66" s="249"/>
      <c r="T66" s="249"/>
      <c r="U66" s="192">
        <v>13</v>
      </c>
      <c r="V66" s="192"/>
      <c r="W66" s="192"/>
      <c r="X66" s="193" t="s">
        <v>9</v>
      </c>
      <c r="Y66" s="193"/>
      <c r="Z66" s="194"/>
      <c r="AA66" s="194"/>
      <c r="AB66" s="194"/>
      <c r="AC66" s="250"/>
    </row>
    <row r="67" ht="21.75" customHeight="1" spans="2:29">
      <c r="B67" s="188">
        <v>61</v>
      </c>
      <c r="C67" s="189"/>
      <c r="D67" s="251">
        <v>5263134</v>
      </c>
      <c r="E67" s="251"/>
      <c r="F67" s="251"/>
      <c r="G67" s="251"/>
      <c r="H67" s="249" t="s">
        <v>102</v>
      </c>
      <c r="I67" s="249"/>
      <c r="J67" s="249"/>
      <c r="K67" s="249"/>
      <c r="L67" s="249"/>
      <c r="M67" s="249"/>
      <c r="N67" s="249"/>
      <c r="O67" s="249"/>
      <c r="P67" s="249"/>
      <c r="Q67" s="249"/>
      <c r="R67" s="249"/>
      <c r="S67" s="249"/>
      <c r="T67" s="249"/>
      <c r="U67" s="192">
        <v>20</v>
      </c>
      <c r="V67" s="192"/>
      <c r="W67" s="192"/>
      <c r="X67" s="193" t="s">
        <v>9</v>
      </c>
      <c r="Y67" s="193"/>
      <c r="Z67" s="194"/>
      <c r="AA67" s="194"/>
      <c r="AB67" s="194"/>
      <c r="AC67" s="250"/>
    </row>
    <row r="68" ht="21.75" customHeight="1" spans="2:29">
      <c r="B68" s="188">
        <v>62</v>
      </c>
      <c r="C68" s="189"/>
      <c r="D68" s="251">
        <v>5264443</v>
      </c>
      <c r="E68" s="251"/>
      <c r="F68" s="251"/>
      <c r="G68" s="251"/>
      <c r="H68" s="249" t="s">
        <v>103</v>
      </c>
      <c r="I68" s="249"/>
      <c r="J68" s="249"/>
      <c r="K68" s="249"/>
      <c r="L68" s="249"/>
      <c r="M68" s="249"/>
      <c r="N68" s="249"/>
      <c r="O68" s="249"/>
      <c r="P68" s="249"/>
      <c r="Q68" s="249"/>
      <c r="R68" s="249"/>
      <c r="S68" s="249"/>
      <c r="T68" s="249"/>
      <c r="U68" s="192">
        <v>25</v>
      </c>
      <c r="V68" s="192"/>
      <c r="W68" s="192"/>
      <c r="X68" s="193" t="s">
        <v>9</v>
      </c>
      <c r="Y68" s="193"/>
      <c r="Z68" s="194"/>
      <c r="AA68" s="194"/>
      <c r="AB68" s="194"/>
      <c r="AC68" s="250"/>
    </row>
    <row r="69" ht="21.75" customHeight="1" spans="2:29">
      <c r="B69" s="188">
        <v>63</v>
      </c>
      <c r="C69" s="189"/>
      <c r="D69" s="249" t="s">
        <v>104</v>
      </c>
      <c r="E69" s="249"/>
      <c r="F69" s="249"/>
      <c r="G69" s="249"/>
      <c r="H69" s="249" t="s">
        <v>105</v>
      </c>
      <c r="I69" s="249"/>
      <c r="J69" s="249"/>
      <c r="K69" s="249"/>
      <c r="L69" s="249"/>
      <c r="M69" s="249"/>
      <c r="N69" s="249"/>
      <c r="O69" s="249"/>
      <c r="P69" s="249"/>
      <c r="Q69" s="249"/>
      <c r="R69" s="249"/>
      <c r="S69" s="249"/>
      <c r="T69" s="249"/>
      <c r="U69" s="192">
        <v>10</v>
      </c>
      <c r="V69" s="192"/>
      <c r="W69" s="192"/>
      <c r="X69" s="193" t="s">
        <v>9</v>
      </c>
      <c r="Y69" s="193"/>
      <c r="Z69" s="194"/>
      <c r="AA69" s="194"/>
      <c r="AB69" s="194"/>
      <c r="AC69" s="250"/>
    </row>
    <row r="70" customHeight="1" spans="2:29">
      <c r="B70" s="188">
        <v>64</v>
      </c>
      <c r="C70" s="189"/>
      <c r="D70" s="249" t="s">
        <v>106</v>
      </c>
      <c r="E70" s="249"/>
      <c r="F70" s="249"/>
      <c r="G70" s="249"/>
      <c r="H70" s="249" t="s">
        <v>107</v>
      </c>
      <c r="I70" s="249"/>
      <c r="J70" s="249"/>
      <c r="K70" s="249"/>
      <c r="L70" s="249"/>
      <c r="M70" s="249"/>
      <c r="N70" s="249"/>
      <c r="O70" s="249"/>
      <c r="P70" s="249"/>
      <c r="Q70" s="249"/>
      <c r="R70" s="249"/>
      <c r="S70" s="249"/>
      <c r="T70" s="249"/>
      <c r="U70" s="192">
        <v>15</v>
      </c>
      <c r="V70" s="192"/>
      <c r="W70" s="192"/>
      <c r="X70" s="193" t="s">
        <v>9</v>
      </c>
      <c r="Y70" s="193"/>
      <c r="Z70" s="194"/>
      <c r="AA70" s="194"/>
      <c r="AB70" s="194"/>
      <c r="AC70" s="250"/>
    </row>
    <row r="71" customHeight="1" spans="2:29">
      <c r="B71" s="188">
        <v>65</v>
      </c>
      <c r="C71" s="189"/>
      <c r="D71" s="251">
        <v>5269358</v>
      </c>
      <c r="E71" s="251"/>
      <c r="F71" s="251"/>
      <c r="G71" s="251"/>
      <c r="H71" s="249" t="s">
        <v>108</v>
      </c>
      <c r="I71" s="249"/>
      <c r="J71" s="249"/>
      <c r="K71" s="249"/>
      <c r="L71" s="249"/>
      <c r="M71" s="249"/>
      <c r="N71" s="249"/>
      <c r="O71" s="249"/>
      <c r="P71" s="249"/>
      <c r="Q71" s="249"/>
      <c r="R71" s="249"/>
      <c r="S71" s="249"/>
      <c r="T71" s="249"/>
      <c r="U71" s="192">
        <v>10</v>
      </c>
      <c r="V71" s="192"/>
      <c r="W71" s="192"/>
      <c r="X71" s="193" t="s">
        <v>9</v>
      </c>
      <c r="Y71" s="193"/>
      <c r="Z71" s="194"/>
      <c r="AA71" s="194"/>
      <c r="AB71" s="194"/>
      <c r="AC71" s="250"/>
    </row>
    <row r="72" customHeight="1" spans="2:29">
      <c r="B72" s="188">
        <v>66</v>
      </c>
      <c r="C72" s="189"/>
      <c r="D72" s="251">
        <v>5338237</v>
      </c>
      <c r="E72" s="251"/>
      <c r="F72" s="251"/>
      <c r="G72" s="251"/>
      <c r="H72" s="249" t="s">
        <v>109</v>
      </c>
      <c r="I72" s="249"/>
      <c r="J72" s="249"/>
      <c r="K72" s="249"/>
      <c r="L72" s="249"/>
      <c r="M72" s="249"/>
      <c r="N72" s="249"/>
      <c r="O72" s="249"/>
      <c r="P72" s="249"/>
      <c r="Q72" s="249"/>
      <c r="R72" s="249"/>
      <c r="S72" s="249"/>
      <c r="T72" s="249"/>
      <c r="U72" s="192">
        <v>10</v>
      </c>
      <c r="V72" s="192"/>
      <c r="W72" s="192"/>
      <c r="X72" s="193" t="s">
        <v>9</v>
      </c>
      <c r="Y72" s="193"/>
      <c r="Z72" s="194"/>
      <c r="AA72" s="194"/>
      <c r="AB72" s="194"/>
      <c r="AC72" s="250"/>
    </row>
    <row r="73" ht="21.75" customHeight="1" spans="2:29">
      <c r="B73" s="188">
        <v>67</v>
      </c>
      <c r="C73" s="189"/>
      <c r="D73" s="249" t="s">
        <v>110</v>
      </c>
      <c r="E73" s="249"/>
      <c r="F73" s="249"/>
      <c r="G73" s="249"/>
      <c r="H73" s="249" t="s">
        <v>111</v>
      </c>
      <c r="I73" s="249"/>
      <c r="J73" s="249"/>
      <c r="K73" s="249"/>
      <c r="L73" s="249"/>
      <c r="M73" s="249"/>
      <c r="N73" s="249"/>
      <c r="O73" s="249"/>
      <c r="P73" s="249"/>
      <c r="Q73" s="249"/>
      <c r="R73" s="249"/>
      <c r="S73" s="249"/>
      <c r="T73" s="249"/>
      <c r="U73" s="192">
        <v>8</v>
      </c>
      <c r="V73" s="192"/>
      <c r="W73" s="192"/>
      <c r="X73" s="193" t="s">
        <v>9</v>
      </c>
      <c r="Y73" s="193"/>
      <c r="Z73" s="194"/>
      <c r="AA73" s="194"/>
      <c r="AB73" s="194"/>
      <c r="AC73" s="250"/>
    </row>
    <row r="74" ht="21.75" customHeight="1" spans="2:29">
      <c r="B74" s="188">
        <v>68</v>
      </c>
      <c r="C74" s="189"/>
      <c r="D74" s="249" t="s">
        <v>112</v>
      </c>
      <c r="E74" s="249"/>
      <c r="F74" s="249"/>
      <c r="G74" s="249"/>
      <c r="H74" s="249" t="s">
        <v>113</v>
      </c>
      <c r="I74" s="249"/>
      <c r="J74" s="249"/>
      <c r="K74" s="249"/>
      <c r="L74" s="249"/>
      <c r="M74" s="249"/>
      <c r="N74" s="249"/>
      <c r="O74" s="249"/>
      <c r="P74" s="249"/>
      <c r="Q74" s="249"/>
      <c r="R74" s="249"/>
      <c r="S74" s="249"/>
      <c r="T74" s="249"/>
      <c r="U74" s="192">
        <v>10</v>
      </c>
      <c r="V74" s="192"/>
      <c r="W74" s="192"/>
      <c r="X74" s="193" t="s">
        <v>9</v>
      </c>
      <c r="Y74" s="193"/>
      <c r="Z74" s="194"/>
      <c r="AA74" s="194"/>
      <c r="AB74" s="194"/>
      <c r="AC74" s="250"/>
    </row>
    <row r="75" ht="21.75" customHeight="1" spans="2:29">
      <c r="B75" s="188">
        <v>69</v>
      </c>
      <c r="C75" s="189"/>
      <c r="D75" s="251">
        <v>5262500</v>
      </c>
      <c r="E75" s="251"/>
      <c r="F75" s="251"/>
      <c r="G75" s="251"/>
      <c r="H75" s="249" t="s">
        <v>114</v>
      </c>
      <c r="I75" s="249"/>
      <c r="J75" s="249"/>
      <c r="K75" s="249"/>
      <c r="L75" s="249"/>
      <c r="M75" s="249"/>
      <c r="N75" s="249"/>
      <c r="O75" s="249"/>
      <c r="P75" s="249"/>
      <c r="Q75" s="249"/>
      <c r="R75" s="249"/>
      <c r="S75" s="249"/>
      <c r="T75" s="249"/>
      <c r="U75" s="192">
        <v>30</v>
      </c>
      <c r="V75" s="192"/>
      <c r="W75" s="192"/>
      <c r="X75" s="193" t="s">
        <v>9</v>
      </c>
      <c r="Y75" s="193"/>
      <c r="Z75" s="194"/>
      <c r="AA75" s="194"/>
      <c r="AB75" s="194"/>
      <c r="AC75" s="250"/>
    </row>
    <row r="76" ht="21.75" customHeight="1" spans="2:29">
      <c r="B76" s="188">
        <v>70</v>
      </c>
      <c r="C76" s="189"/>
      <c r="D76" s="249" t="s">
        <v>115</v>
      </c>
      <c r="E76" s="249"/>
      <c r="F76" s="249"/>
      <c r="G76" s="249"/>
      <c r="H76" s="249" t="s">
        <v>116</v>
      </c>
      <c r="I76" s="249"/>
      <c r="J76" s="249"/>
      <c r="K76" s="249"/>
      <c r="L76" s="249"/>
      <c r="M76" s="249"/>
      <c r="N76" s="249"/>
      <c r="O76" s="249"/>
      <c r="P76" s="249"/>
      <c r="Q76" s="249"/>
      <c r="R76" s="249"/>
      <c r="S76" s="249"/>
      <c r="T76" s="249"/>
      <c r="U76" s="192">
        <v>80</v>
      </c>
      <c r="V76" s="192"/>
      <c r="W76" s="192"/>
      <c r="X76" s="193" t="s">
        <v>9</v>
      </c>
      <c r="Y76" s="193"/>
      <c r="Z76" s="194"/>
      <c r="AA76" s="194"/>
      <c r="AB76" s="194"/>
      <c r="AC76" s="250"/>
    </row>
    <row r="77" ht="21.75" customHeight="1" spans="2:29">
      <c r="B77" s="188">
        <v>71</v>
      </c>
      <c r="C77" s="189"/>
      <c r="D77" s="251">
        <v>5271282</v>
      </c>
      <c r="E77" s="251"/>
      <c r="F77" s="251"/>
      <c r="G77" s="251"/>
      <c r="H77" s="249" t="s">
        <v>117</v>
      </c>
      <c r="I77" s="249"/>
      <c r="J77" s="249"/>
      <c r="K77" s="249"/>
      <c r="L77" s="249"/>
      <c r="M77" s="249"/>
      <c r="N77" s="249"/>
      <c r="O77" s="249"/>
      <c r="P77" s="249"/>
      <c r="Q77" s="249"/>
      <c r="R77" s="249"/>
      <c r="S77" s="249"/>
      <c r="T77" s="249"/>
      <c r="U77" s="192">
        <v>10</v>
      </c>
      <c r="V77" s="192"/>
      <c r="W77" s="192"/>
      <c r="X77" s="193" t="s">
        <v>9</v>
      </c>
      <c r="Y77" s="193"/>
      <c r="Z77" s="194"/>
      <c r="AA77" s="194"/>
      <c r="AB77" s="194"/>
      <c r="AC77" s="250"/>
    </row>
    <row r="78" ht="32.25" customHeight="1" spans="2:29">
      <c r="B78" s="188">
        <v>72</v>
      </c>
      <c r="C78" s="189"/>
      <c r="D78" s="249" t="s">
        <v>118</v>
      </c>
      <c r="E78" s="249"/>
      <c r="F78" s="249"/>
      <c r="G78" s="249"/>
      <c r="H78" s="249" t="s">
        <v>119</v>
      </c>
      <c r="I78" s="249"/>
      <c r="J78" s="249"/>
      <c r="K78" s="249"/>
      <c r="L78" s="249"/>
      <c r="M78" s="249"/>
      <c r="N78" s="249"/>
      <c r="O78" s="249"/>
      <c r="P78" s="249"/>
      <c r="Q78" s="249"/>
      <c r="R78" s="249"/>
      <c r="S78" s="249"/>
      <c r="T78" s="249"/>
      <c r="U78" s="192">
        <v>30</v>
      </c>
      <c r="V78" s="192"/>
      <c r="W78" s="192"/>
      <c r="X78" s="193" t="s">
        <v>9</v>
      </c>
      <c r="Y78" s="193"/>
      <c r="Z78" s="194"/>
      <c r="AA78" s="194"/>
      <c r="AB78" s="194"/>
      <c r="AC78" s="250"/>
    </row>
    <row r="79" ht="21.75" customHeight="1" spans="2:29">
      <c r="B79" s="188">
        <v>73</v>
      </c>
      <c r="C79" s="189"/>
      <c r="D79" s="251">
        <v>5681404</v>
      </c>
      <c r="E79" s="251"/>
      <c r="F79" s="251"/>
      <c r="G79" s="251"/>
      <c r="H79" s="249" t="s">
        <v>120</v>
      </c>
      <c r="I79" s="249"/>
      <c r="J79" s="249"/>
      <c r="K79" s="249"/>
      <c r="L79" s="249"/>
      <c r="M79" s="249"/>
      <c r="N79" s="249"/>
      <c r="O79" s="249"/>
      <c r="P79" s="249"/>
      <c r="Q79" s="249"/>
      <c r="R79" s="249"/>
      <c r="S79" s="249"/>
      <c r="T79" s="249"/>
      <c r="U79" s="192">
        <v>4</v>
      </c>
      <c r="V79" s="192"/>
      <c r="W79" s="192"/>
      <c r="X79" s="193" t="s">
        <v>9</v>
      </c>
      <c r="Y79" s="193"/>
      <c r="Z79" s="194"/>
      <c r="AA79" s="194"/>
      <c r="AB79" s="194"/>
      <c r="AC79" s="250"/>
    </row>
    <row r="80" ht="32.25" customHeight="1" spans="2:29">
      <c r="B80" s="188">
        <v>74</v>
      </c>
      <c r="C80" s="189"/>
      <c r="D80" s="249" t="s">
        <v>121</v>
      </c>
      <c r="E80" s="249"/>
      <c r="F80" s="249"/>
      <c r="G80" s="249"/>
      <c r="H80" s="249" t="s">
        <v>122</v>
      </c>
      <c r="I80" s="249"/>
      <c r="J80" s="249"/>
      <c r="K80" s="249"/>
      <c r="L80" s="249"/>
      <c r="M80" s="249"/>
      <c r="N80" s="249"/>
      <c r="O80" s="249"/>
      <c r="P80" s="249"/>
      <c r="Q80" s="249"/>
      <c r="R80" s="249"/>
      <c r="S80" s="249"/>
      <c r="T80" s="249"/>
      <c r="U80" s="192">
        <v>110</v>
      </c>
      <c r="V80" s="192"/>
      <c r="W80" s="192"/>
      <c r="X80" s="193" t="s">
        <v>9</v>
      </c>
      <c r="Y80" s="193"/>
      <c r="Z80" s="194"/>
      <c r="AA80" s="194"/>
      <c r="AB80" s="194"/>
      <c r="AC80" s="250"/>
    </row>
    <row r="81" customHeight="1" spans="2:29">
      <c r="B81" s="188">
        <v>75</v>
      </c>
      <c r="C81" s="189"/>
      <c r="D81" s="251">
        <v>5284977</v>
      </c>
      <c r="E81" s="251"/>
      <c r="F81" s="251"/>
      <c r="G81" s="251"/>
      <c r="H81" s="249" t="s">
        <v>123</v>
      </c>
      <c r="I81" s="249"/>
      <c r="J81" s="249"/>
      <c r="K81" s="249"/>
      <c r="L81" s="249"/>
      <c r="M81" s="249"/>
      <c r="N81" s="249"/>
      <c r="O81" s="249"/>
      <c r="P81" s="249"/>
      <c r="Q81" s="249"/>
      <c r="R81" s="249"/>
      <c r="S81" s="249"/>
      <c r="T81" s="249"/>
      <c r="U81" s="192">
        <v>100</v>
      </c>
      <c r="V81" s="192"/>
      <c r="W81" s="192"/>
      <c r="X81" s="193" t="s">
        <v>9</v>
      </c>
      <c r="Y81" s="193"/>
      <c r="Z81" s="194"/>
      <c r="AA81" s="194"/>
      <c r="AB81" s="194"/>
      <c r="AC81" s="250"/>
    </row>
    <row r="82" customHeight="1" spans="2:29">
      <c r="B82" s="188">
        <v>76</v>
      </c>
      <c r="C82" s="189"/>
      <c r="D82" s="251">
        <v>5282085</v>
      </c>
      <c r="E82" s="251"/>
      <c r="F82" s="251"/>
      <c r="G82" s="251"/>
      <c r="H82" s="249" t="s">
        <v>124</v>
      </c>
      <c r="I82" s="249"/>
      <c r="J82" s="249"/>
      <c r="K82" s="249"/>
      <c r="L82" s="249"/>
      <c r="M82" s="249"/>
      <c r="N82" s="249"/>
      <c r="O82" s="249"/>
      <c r="P82" s="249"/>
      <c r="Q82" s="249"/>
      <c r="R82" s="249"/>
      <c r="S82" s="249"/>
      <c r="T82" s="249"/>
      <c r="U82" s="192">
        <v>60</v>
      </c>
      <c r="V82" s="192"/>
      <c r="W82" s="192"/>
      <c r="X82" s="193" t="s">
        <v>9</v>
      </c>
      <c r="Y82" s="193"/>
      <c r="Z82" s="194"/>
      <c r="AA82" s="194"/>
      <c r="AB82" s="194"/>
      <c r="AC82" s="250"/>
    </row>
    <row r="83" ht="21.75" customHeight="1" spans="2:29">
      <c r="B83" s="188">
        <v>77</v>
      </c>
      <c r="C83" s="189"/>
      <c r="D83" s="249" t="s">
        <v>125</v>
      </c>
      <c r="E83" s="249"/>
      <c r="F83" s="249"/>
      <c r="G83" s="249"/>
      <c r="H83" s="249" t="s">
        <v>126</v>
      </c>
      <c r="I83" s="249"/>
      <c r="J83" s="249"/>
      <c r="K83" s="249"/>
      <c r="L83" s="249"/>
      <c r="M83" s="249"/>
      <c r="N83" s="249"/>
      <c r="O83" s="249"/>
      <c r="P83" s="249"/>
      <c r="Q83" s="249"/>
      <c r="R83" s="249"/>
      <c r="S83" s="249"/>
      <c r="T83" s="249"/>
      <c r="U83" s="192">
        <v>5</v>
      </c>
      <c r="V83" s="192"/>
      <c r="W83" s="192"/>
      <c r="X83" s="193" t="s">
        <v>9</v>
      </c>
      <c r="Y83" s="193"/>
      <c r="Z83" s="194"/>
      <c r="AA83" s="194"/>
      <c r="AB83" s="194"/>
      <c r="AC83" s="250"/>
    </row>
    <row r="84" ht="21.75" customHeight="1" spans="2:29">
      <c r="B84" s="188">
        <v>78</v>
      </c>
      <c r="C84" s="189"/>
      <c r="D84" s="249" t="s">
        <v>127</v>
      </c>
      <c r="E84" s="249"/>
      <c r="F84" s="249"/>
      <c r="G84" s="249"/>
      <c r="H84" s="249" t="s">
        <v>128</v>
      </c>
      <c r="I84" s="249"/>
      <c r="J84" s="249"/>
      <c r="K84" s="249"/>
      <c r="L84" s="249"/>
      <c r="M84" s="249"/>
      <c r="N84" s="249"/>
      <c r="O84" s="249"/>
      <c r="P84" s="249"/>
      <c r="Q84" s="249"/>
      <c r="R84" s="249"/>
      <c r="S84" s="249"/>
      <c r="T84" s="249"/>
      <c r="U84" s="192">
        <v>60</v>
      </c>
      <c r="V84" s="192"/>
      <c r="W84" s="192"/>
      <c r="X84" s="193" t="s">
        <v>9</v>
      </c>
      <c r="Y84" s="193"/>
      <c r="Z84" s="194"/>
      <c r="AA84" s="194"/>
      <c r="AB84" s="194"/>
      <c r="AC84" s="250"/>
    </row>
    <row r="85" customHeight="1" spans="2:29">
      <c r="B85" s="188">
        <v>79</v>
      </c>
      <c r="C85" s="189"/>
      <c r="D85" s="249" t="s">
        <v>129</v>
      </c>
      <c r="E85" s="249"/>
      <c r="F85" s="249"/>
      <c r="G85" s="249"/>
      <c r="H85" s="249" t="s">
        <v>130</v>
      </c>
      <c r="I85" s="249"/>
      <c r="J85" s="249"/>
      <c r="K85" s="249"/>
      <c r="L85" s="249"/>
      <c r="M85" s="249"/>
      <c r="N85" s="249"/>
      <c r="O85" s="249"/>
      <c r="P85" s="249"/>
      <c r="Q85" s="249"/>
      <c r="R85" s="249"/>
      <c r="S85" s="249"/>
      <c r="T85" s="249"/>
      <c r="U85" s="192">
        <v>10</v>
      </c>
      <c r="V85" s="192"/>
      <c r="W85" s="192"/>
      <c r="X85" s="193" t="s">
        <v>9</v>
      </c>
      <c r="Y85" s="193"/>
      <c r="Z85" s="194"/>
      <c r="AA85" s="194"/>
      <c r="AB85" s="194"/>
      <c r="AC85" s="250"/>
    </row>
    <row r="86" customHeight="1" spans="2:29">
      <c r="B86" s="188">
        <v>80</v>
      </c>
      <c r="C86" s="189"/>
      <c r="D86" s="249" t="s">
        <v>131</v>
      </c>
      <c r="E86" s="249"/>
      <c r="F86" s="249"/>
      <c r="G86" s="249"/>
      <c r="H86" s="249" t="s">
        <v>132</v>
      </c>
      <c r="I86" s="249"/>
      <c r="J86" s="249"/>
      <c r="K86" s="249"/>
      <c r="L86" s="249"/>
      <c r="M86" s="249"/>
      <c r="N86" s="249"/>
      <c r="O86" s="249"/>
      <c r="P86" s="249"/>
      <c r="Q86" s="249"/>
      <c r="R86" s="249"/>
      <c r="S86" s="249"/>
      <c r="T86" s="249"/>
      <c r="U86" s="192">
        <v>20</v>
      </c>
      <c r="V86" s="192"/>
      <c r="W86" s="192"/>
      <c r="X86" s="193" t="s">
        <v>9</v>
      </c>
      <c r="Y86" s="193"/>
      <c r="Z86" s="194"/>
      <c r="AA86" s="194"/>
      <c r="AB86" s="194"/>
      <c r="AC86" s="250"/>
    </row>
    <row r="87" customHeight="1" spans="2:29">
      <c r="B87" s="188">
        <v>81</v>
      </c>
      <c r="C87" s="189"/>
      <c r="D87" s="251">
        <v>5286672</v>
      </c>
      <c r="E87" s="251"/>
      <c r="F87" s="251"/>
      <c r="G87" s="251"/>
      <c r="H87" s="249" t="s">
        <v>133</v>
      </c>
      <c r="I87" s="249"/>
      <c r="J87" s="249"/>
      <c r="K87" s="249"/>
      <c r="L87" s="249"/>
      <c r="M87" s="249"/>
      <c r="N87" s="249"/>
      <c r="O87" s="249"/>
      <c r="P87" s="249"/>
      <c r="Q87" s="249"/>
      <c r="R87" s="249"/>
      <c r="S87" s="249"/>
      <c r="T87" s="249"/>
      <c r="U87" s="192">
        <v>18</v>
      </c>
      <c r="V87" s="192"/>
      <c r="W87" s="192"/>
      <c r="X87" s="193" t="s">
        <v>9</v>
      </c>
      <c r="Y87" s="193"/>
      <c r="Z87" s="194"/>
      <c r="AA87" s="194"/>
      <c r="AB87" s="194"/>
      <c r="AC87" s="250"/>
    </row>
    <row r="88" ht="21.75" customHeight="1" spans="2:29">
      <c r="B88" s="188">
        <v>82</v>
      </c>
      <c r="C88" s="189"/>
      <c r="D88" s="251">
        <v>5256607</v>
      </c>
      <c r="E88" s="251"/>
      <c r="F88" s="251"/>
      <c r="G88" s="251"/>
      <c r="H88" s="249" t="s">
        <v>134</v>
      </c>
      <c r="I88" s="249"/>
      <c r="J88" s="249"/>
      <c r="K88" s="249"/>
      <c r="L88" s="249"/>
      <c r="M88" s="249"/>
      <c r="N88" s="249"/>
      <c r="O88" s="249"/>
      <c r="P88" s="249"/>
      <c r="Q88" s="249"/>
      <c r="R88" s="249"/>
      <c r="S88" s="249"/>
      <c r="T88" s="249"/>
      <c r="U88" s="192">
        <v>1</v>
      </c>
      <c r="V88" s="192"/>
      <c r="W88" s="192"/>
      <c r="X88" s="193" t="s">
        <v>9</v>
      </c>
      <c r="Y88" s="193"/>
      <c r="Z88" s="194"/>
      <c r="AA88" s="194"/>
      <c r="AB88" s="194"/>
      <c r="AC88" s="250"/>
    </row>
    <row r="89" ht="21.75" customHeight="1" spans="2:29">
      <c r="B89" s="188">
        <v>83</v>
      </c>
      <c r="C89" s="189"/>
      <c r="D89" s="249" t="s">
        <v>135</v>
      </c>
      <c r="E89" s="249"/>
      <c r="F89" s="249"/>
      <c r="G89" s="249"/>
      <c r="H89" s="249" t="s">
        <v>136</v>
      </c>
      <c r="I89" s="249"/>
      <c r="J89" s="249"/>
      <c r="K89" s="249"/>
      <c r="L89" s="249"/>
      <c r="M89" s="249"/>
      <c r="N89" s="249"/>
      <c r="O89" s="249"/>
      <c r="P89" s="249"/>
      <c r="Q89" s="249"/>
      <c r="R89" s="249"/>
      <c r="S89" s="249"/>
      <c r="T89" s="249"/>
      <c r="U89" s="192">
        <v>2</v>
      </c>
      <c r="V89" s="192"/>
      <c r="W89" s="192"/>
      <c r="X89" s="193" t="s">
        <v>9</v>
      </c>
      <c r="Y89" s="193"/>
      <c r="Z89" s="194"/>
      <c r="AA89" s="194"/>
      <c r="AB89" s="194"/>
      <c r="AC89" s="250"/>
    </row>
    <row r="90" customHeight="1" spans="2:29">
      <c r="B90" s="188">
        <v>84</v>
      </c>
      <c r="C90" s="189"/>
      <c r="D90" s="251">
        <v>4990601</v>
      </c>
      <c r="E90" s="251"/>
      <c r="F90" s="251"/>
      <c r="G90" s="251"/>
      <c r="H90" s="249" t="s">
        <v>137</v>
      </c>
      <c r="I90" s="249"/>
      <c r="J90" s="249"/>
      <c r="K90" s="249"/>
      <c r="L90" s="249"/>
      <c r="M90" s="249"/>
      <c r="N90" s="249"/>
      <c r="O90" s="249"/>
      <c r="P90" s="249"/>
      <c r="Q90" s="249"/>
      <c r="R90" s="249"/>
      <c r="S90" s="249"/>
      <c r="T90" s="249"/>
      <c r="U90" s="192">
        <v>2</v>
      </c>
      <c r="V90" s="192"/>
      <c r="W90" s="192"/>
      <c r="X90" s="193" t="s">
        <v>9</v>
      </c>
      <c r="Y90" s="193"/>
      <c r="Z90" s="194"/>
      <c r="AA90" s="194"/>
      <c r="AB90" s="194"/>
      <c r="AC90" s="250"/>
    </row>
    <row r="91" customHeight="1" spans="2:29">
      <c r="B91" s="188">
        <v>85</v>
      </c>
      <c r="C91" s="189"/>
      <c r="D91" s="249" t="s">
        <v>138</v>
      </c>
      <c r="E91" s="249"/>
      <c r="F91" s="249"/>
      <c r="G91" s="249"/>
      <c r="H91" s="249" t="s">
        <v>139</v>
      </c>
      <c r="I91" s="249"/>
      <c r="J91" s="249"/>
      <c r="K91" s="249"/>
      <c r="L91" s="249"/>
      <c r="M91" s="249"/>
      <c r="N91" s="249"/>
      <c r="O91" s="249"/>
      <c r="P91" s="249"/>
      <c r="Q91" s="249"/>
      <c r="R91" s="249"/>
      <c r="S91" s="249"/>
      <c r="T91" s="249"/>
      <c r="U91" s="192">
        <v>30</v>
      </c>
      <c r="V91" s="192"/>
      <c r="W91" s="192"/>
      <c r="X91" s="193" t="s">
        <v>9</v>
      </c>
      <c r="Y91" s="193"/>
      <c r="Z91" s="194"/>
      <c r="AA91" s="194"/>
      <c r="AB91" s="194"/>
      <c r="AC91" s="250"/>
    </row>
    <row r="92" customHeight="1" spans="2:29">
      <c r="B92" s="188">
        <v>86</v>
      </c>
      <c r="C92" s="189"/>
      <c r="D92" s="251">
        <v>5267974</v>
      </c>
      <c r="E92" s="251"/>
      <c r="F92" s="251"/>
      <c r="G92" s="251"/>
      <c r="H92" s="249" t="s">
        <v>140</v>
      </c>
      <c r="I92" s="249"/>
      <c r="J92" s="249"/>
      <c r="K92" s="249"/>
      <c r="L92" s="249"/>
      <c r="M92" s="249"/>
      <c r="N92" s="249"/>
      <c r="O92" s="249"/>
      <c r="P92" s="249"/>
      <c r="Q92" s="249"/>
      <c r="R92" s="249"/>
      <c r="S92" s="249"/>
      <c r="T92" s="249"/>
      <c r="U92" s="192">
        <v>30</v>
      </c>
      <c r="V92" s="192"/>
      <c r="W92" s="192"/>
      <c r="X92" s="193" t="s">
        <v>9</v>
      </c>
      <c r="Y92" s="193"/>
      <c r="Z92" s="194"/>
      <c r="AA92" s="194"/>
      <c r="AB92" s="194"/>
      <c r="AC92" s="250"/>
    </row>
    <row r="93" ht="21.75" customHeight="1" spans="2:29">
      <c r="B93" s="188">
        <v>87</v>
      </c>
      <c r="C93" s="189"/>
      <c r="D93" s="251">
        <v>5270378</v>
      </c>
      <c r="E93" s="251"/>
      <c r="F93" s="251"/>
      <c r="G93" s="251"/>
      <c r="H93" s="249" t="s">
        <v>141</v>
      </c>
      <c r="I93" s="249"/>
      <c r="J93" s="249"/>
      <c r="K93" s="249"/>
      <c r="L93" s="249"/>
      <c r="M93" s="249"/>
      <c r="N93" s="249"/>
      <c r="O93" s="249"/>
      <c r="P93" s="249"/>
      <c r="Q93" s="249"/>
      <c r="R93" s="249"/>
      <c r="S93" s="249"/>
      <c r="T93" s="249"/>
      <c r="U93" s="192">
        <v>8</v>
      </c>
      <c r="V93" s="192"/>
      <c r="W93" s="192"/>
      <c r="X93" s="193" t="s">
        <v>9</v>
      </c>
      <c r="Y93" s="193"/>
      <c r="Z93" s="194"/>
      <c r="AA93" s="194"/>
      <c r="AB93" s="194"/>
      <c r="AC93" s="250"/>
    </row>
    <row r="94" ht="21.75" customHeight="1" spans="2:29">
      <c r="B94" s="188">
        <v>88</v>
      </c>
      <c r="C94" s="189"/>
      <c r="D94" s="249" t="s">
        <v>142</v>
      </c>
      <c r="E94" s="249"/>
      <c r="F94" s="249"/>
      <c r="G94" s="249"/>
      <c r="H94" s="249" t="s">
        <v>143</v>
      </c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  <c r="T94" s="249"/>
      <c r="U94" s="192">
        <v>200</v>
      </c>
      <c r="V94" s="192"/>
      <c r="W94" s="192"/>
      <c r="X94" s="193" t="s">
        <v>9</v>
      </c>
      <c r="Y94" s="193"/>
      <c r="Z94" s="194"/>
      <c r="AA94" s="194"/>
      <c r="AB94" s="194"/>
      <c r="AC94" s="250"/>
    </row>
    <row r="95" ht="21.75" customHeight="1" spans="2:29">
      <c r="B95" s="188">
        <v>89</v>
      </c>
      <c r="C95" s="189"/>
      <c r="D95" s="251">
        <v>5265278</v>
      </c>
      <c r="E95" s="251"/>
      <c r="F95" s="251"/>
      <c r="G95" s="251"/>
      <c r="H95" s="249" t="s">
        <v>144</v>
      </c>
      <c r="I95" s="249"/>
      <c r="J95" s="249"/>
      <c r="K95" s="249"/>
      <c r="L95" s="249"/>
      <c r="M95" s="249"/>
      <c r="N95" s="249"/>
      <c r="O95" s="249"/>
      <c r="P95" s="249"/>
      <c r="Q95" s="249"/>
      <c r="R95" s="249"/>
      <c r="S95" s="249"/>
      <c r="T95" s="249"/>
      <c r="U95" s="192">
        <v>50</v>
      </c>
      <c r="V95" s="192"/>
      <c r="W95" s="192"/>
      <c r="X95" s="193" t="s">
        <v>9</v>
      </c>
      <c r="Y95" s="193"/>
      <c r="Z95" s="194"/>
      <c r="AA95" s="194"/>
      <c r="AB95" s="194"/>
      <c r="AC95" s="250"/>
    </row>
    <row r="96" ht="21.75" customHeight="1" spans="2:29">
      <c r="B96" s="188">
        <v>90</v>
      </c>
      <c r="C96" s="189"/>
      <c r="D96" s="249" t="s">
        <v>145</v>
      </c>
      <c r="E96" s="249"/>
      <c r="F96" s="249"/>
      <c r="G96" s="249"/>
      <c r="H96" s="249" t="s">
        <v>146</v>
      </c>
      <c r="I96" s="249"/>
      <c r="J96" s="249"/>
      <c r="K96" s="249"/>
      <c r="L96" s="249"/>
      <c r="M96" s="249"/>
      <c r="N96" s="249"/>
      <c r="O96" s="249"/>
      <c r="P96" s="249"/>
      <c r="Q96" s="249"/>
      <c r="R96" s="249"/>
      <c r="S96" s="249"/>
      <c r="T96" s="249"/>
      <c r="U96" s="192">
        <v>150</v>
      </c>
      <c r="V96" s="192"/>
      <c r="W96" s="192"/>
      <c r="X96" s="193" t="s">
        <v>9</v>
      </c>
      <c r="Y96" s="193"/>
      <c r="Z96" s="194"/>
      <c r="AA96" s="194"/>
      <c r="AB96" s="194"/>
      <c r="AC96" s="250"/>
    </row>
    <row r="97" ht="21.75" customHeight="1" spans="2:29">
      <c r="B97" s="188">
        <v>91</v>
      </c>
      <c r="C97" s="189"/>
      <c r="D97" s="251">
        <v>3032105</v>
      </c>
      <c r="E97" s="251"/>
      <c r="F97" s="251"/>
      <c r="G97" s="251"/>
      <c r="H97" s="249" t="s">
        <v>147</v>
      </c>
      <c r="I97" s="249"/>
      <c r="J97" s="249"/>
      <c r="K97" s="249"/>
      <c r="L97" s="249"/>
      <c r="M97" s="249"/>
      <c r="N97" s="249"/>
      <c r="O97" s="249"/>
      <c r="P97" s="249"/>
      <c r="Q97" s="249"/>
      <c r="R97" s="249"/>
      <c r="S97" s="249"/>
      <c r="T97" s="249"/>
      <c r="U97" s="192">
        <v>150</v>
      </c>
      <c r="V97" s="192"/>
      <c r="W97" s="192"/>
      <c r="X97" s="193" t="s">
        <v>9</v>
      </c>
      <c r="Y97" s="193"/>
      <c r="Z97" s="194"/>
      <c r="AA97" s="194"/>
      <c r="AB97" s="194"/>
      <c r="AC97" s="250"/>
    </row>
    <row r="98" ht="21.75" customHeight="1" spans="2:29">
      <c r="B98" s="188">
        <v>92</v>
      </c>
      <c r="C98" s="189"/>
      <c r="D98" s="251">
        <v>5269331</v>
      </c>
      <c r="E98" s="251"/>
      <c r="F98" s="251"/>
      <c r="G98" s="251"/>
      <c r="H98" s="249" t="s">
        <v>148</v>
      </c>
      <c r="I98" s="249"/>
      <c r="J98" s="249"/>
      <c r="K98" s="249"/>
      <c r="L98" s="249"/>
      <c r="M98" s="249"/>
      <c r="N98" s="249"/>
      <c r="O98" s="249"/>
      <c r="P98" s="249"/>
      <c r="Q98" s="249"/>
      <c r="R98" s="249"/>
      <c r="S98" s="249"/>
      <c r="T98" s="249"/>
      <c r="U98" s="192">
        <v>12</v>
      </c>
      <c r="V98" s="192"/>
      <c r="W98" s="192"/>
      <c r="X98" s="193" t="s">
        <v>9</v>
      </c>
      <c r="Y98" s="193"/>
      <c r="Z98" s="194"/>
      <c r="AA98" s="194"/>
      <c r="AB98" s="194"/>
      <c r="AC98" s="250"/>
    </row>
    <row r="99" ht="21.75" customHeight="1" spans="2:29">
      <c r="B99" s="188">
        <v>93</v>
      </c>
      <c r="C99" s="189"/>
      <c r="D99" s="251">
        <v>5270336</v>
      </c>
      <c r="E99" s="251"/>
      <c r="F99" s="251"/>
      <c r="G99" s="251"/>
      <c r="H99" s="249" t="s">
        <v>149</v>
      </c>
      <c r="I99" s="249"/>
      <c r="J99" s="249"/>
      <c r="K99" s="249"/>
      <c r="L99" s="249"/>
      <c r="M99" s="249"/>
      <c r="N99" s="249"/>
      <c r="O99" s="249"/>
      <c r="P99" s="249"/>
      <c r="Q99" s="249"/>
      <c r="R99" s="249"/>
      <c r="S99" s="249"/>
      <c r="T99" s="249"/>
      <c r="U99" s="192">
        <v>240</v>
      </c>
      <c r="V99" s="192"/>
      <c r="W99" s="192"/>
      <c r="X99" s="193" t="s">
        <v>9</v>
      </c>
      <c r="Y99" s="193"/>
      <c r="Z99" s="194"/>
      <c r="AA99" s="194"/>
      <c r="AB99" s="194"/>
      <c r="AC99" s="250"/>
    </row>
    <row r="100" ht="21.75" customHeight="1" spans="2:29">
      <c r="B100" s="188">
        <v>94</v>
      </c>
      <c r="C100" s="189"/>
      <c r="D100" s="251">
        <v>5258754</v>
      </c>
      <c r="E100" s="251"/>
      <c r="F100" s="251"/>
      <c r="G100" s="251"/>
      <c r="H100" s="249" t="s">
        <v>150</v>
      </c>
      <c r="I100" s="249"/>
      <c r="J100" s="249"/>
      <c r="K100" s="249"/>
      <c r="L100" s="249"/>
      <c r="M100" s="249"/>
      <c r="N100" s="249"/>
      <c r="O100" s="249"/>
      <c r="P100" s="249"/>
      <c r="Q100" s="249"/>
      <c r="R100" s="249"/>
      <c r="S100" s="249"/>
      <c r="T100" s="249"/>
      <c r="U100" s="192">
        <v>24</v>
      </c>
      <c r="V100" s="192"/>
      <c r="W100" s="192"/>
      <c r="X100" s="193" t="s">
        <v>9</v>
      </c>
      <c r="Y100" s="193"/>
      <c r="Z100" s="194"/>
      <c r="AA100" s="194"/>
      <c r="AB100" s="194"/>
      <c r="AC100" s="250"/>
    </row>
    <row r="101" customHeight="1" spans="2:29">
      <c r="B101" s="188">
        <v>95</v>
      </c>
      <c r="C101" s="189"/>
      <c r="D101" s="251">
        <v>4995266</v>
      </c>
      <c r="E101" s="251"/>
      <c r="F101" s="251"/>
      <c r="G101" s="251"/>
      <c r="H101" s="249" t="s">
        <v>151</v>
      </c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  <c r="S101" s="249"/>
      <c r="T101" s="249"/>
      <c r="U101" s="192">
        <v>76</v>
      </c>
      <c r="V101" s="192"/>
      <c r="W101" s="192"/>
      <c r="X101" s="193" t="s">
        <v>9</v>
      </c>
      <c r="Y101" s="193"/>
      <c r="Z101" s="194"/>
      <c r="AA101" s="194"/>
      <c r="AB101" s="194"/>
      <c r="AC101" s="250"/>
    </row>
    <row r="102" ht="21.75" customHeight="1" spans="2:29">
      <c r="B102" s="188">
        <v>96</v>
      </c>
      <c r="C102" s="189"/>
      <c r="D102" s="251">
        <v>5264426</v>
      </c>
      <c r="E102" s="251"/>
      <c r="F102" s="251"/>
      <c r="G102" s="251"/>
      <c r="H102" s="249" t="s">
        <v>152</v>
      </c>
      <c r="I102" s="249"/>
      <c r="J102" s="249"/>
      <c r="K102" s="249"/>
      <c r="L102" s="249"/>
      <c r="M102" s="249"/>
      <c r="N102" s="249"/>
      <c r="O102" s="249"/>
      <c r="P102" s="249"/>
      <c r="Q102" s="249"/>
      <c r="R102" s="249"/>
      <c r="S102" s="249"/>
      <c r="T102" s="249"/>
      <c r="U102" s="192">
        <v>100</v>
      </c>
      <c r="V102" s="192"/>
      <c r="W102" s="192"/>
      <c r="X102" s="193" t="s">
        <v>9</v>
      </c>
      <c r="Y102" s="193"/>
      <c r="Z102" s="194"/>
      <c r="AA102" s="194"/>
      <c r="AB102" s="194"/>
      <c r="AC102" s="250"/>
    </row>
    <row r="103" ht="21.75" customHeight="1" spans="2:29">
      <c r="B103" s="188">
        <v>97</v>
      </c>
      <c r="C103" s="189"/>
      <c r="D103" s="251">
        <v>4983654</v>
      </c>
      <c r="E103" s="251"/>
      <c r="F103" s="251"/>
      <c r="G103" s="251"/>
      <c r="H103" s="249" t="s">
        <v>153</v>
      </c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  <c r="S103" s="249"/>
      <c r="T103" s="249"/>
      <c r="U103" s="192">
        <v>100</v>
      </c>
      <c r="V103" s="192"/>
      <c r="W103" s="192"/>
      <c r="X103" s="193" t="s">
        <v>9</v>
      </c>
      <c r="Y103" s="193"/>
      <c r="Z103" s="194"/>
      <c r="AA103" s="194"/>
      <c r="AB103" s="194"/>
      <c r="AC103" s="250"/>
    </row>
    <row r="104" ht="21.75" customHeight="1" spans="2:29">
      <c r="B104" s="188">
        <v>98</v>
      </c>
      <c r="C104" s="189"/>
      <c r="D104" s="251">
        <v>5261421</v>
      </c>
      <c r="E104" s="251"/>
      <c r="F104" s="251"/>
      <c r="G104" s="251"/>
      <c r="H104" s="249" t="s">
        <v>154</v>
      </c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  <c r="S104" s="249"/>
      <c r="T104" s="249"/>
      <c r="U104" s="192">
        <v>80</v>
      </c>
      <c r="V104" s="192"/>
      <c r="W104" s="192"/>
      <c r="X104" s="193" t="s">
        <v>9</v>
      </c>
      <c r="Y104" s="193"/>
      <c r="Z104" s="194"/>
      <c r="AA104" s="194"/>
      <c r="AB104" s="194"/>
      <c r="AC104" s="250"/>
    </row>
    <row r="105" ht="21.75" customHeight="1" spans="2:29">
      <c r="B105" s="188">
        <v>99</v>
      </c>
      <c r="C105" s="189"/>
      <c r="D105" s="249" t="s">
        <v>155</v>
      </c>
      <c r="E105" s="249"/>
      <c r="F105" s="249"/>
      <c r="G105" s="249"/>
      <c r="H105" s="249" t="s">
        <v>156</v>
      </c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  <c r="S105" s="249"/>
      <c r="T105" s="249"/>
      <c r="U105" s="192">
        <v>5</v>
      </c>
      <c r="V105" s="192"/>
      <c r="W105" s="192"/>
      <c r="X105" s="193" t="s">
        <v>9</v>
      </c>
      <c r="Y105" s="193"/>
      <c r="Z105" s="194"/>
      <c r="AA105" s="194"/>
      <c r="AB105" s="194"/>
      <c r="AC105" s="250"/>
    </row>
    <row r="106" ht="21.75" customHeight="1" spans="2:29">
      <c r="B106" s="188">
        <v>100</v>
      </c>
      <c r="C106" s="189"/>
      <c r="D106" s="249" t="s">
        <v>157</v>
      </c>
      <c r="E106" s="249"/>
      <c r="F106" s="249"/>
      <c r="G106" s="249"/>
      <c r="H106" s="249" t="s">
        <v>158</v>
      </c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  <c r="S106" s="249"/>
      <c r="T106" s="249"/>
      <c r="U106" s="192">
        <v>30</v>
      </c>
      <c r="V106" s="192"/>
      <c r="W106" s="192"/>
      <c r="X106" s="193" t="s">
        <v>9</v>
      </c>
      <c r="Y106" s="193"/>
      <c r="Z106" s="194"/>
      <c r="AA106" s="194"/>
      <c r="AB106" s="194"/>
      <c r="AC106" s="250"/>
    </row>
    <row r="107" ht="21.75" customHeight="1" spans="2:29">
      <c r="B107" s="188">
        <v>101</v>
      </c>
      <c r="C107" s="189"/>
      <c r="D107" s="251">
        <v>4946239</v>
      </c>
      <c r="E107" s="251"/>
      <c r="F107" s="251"/>
      <c r="G107" s="251"/>
      <c r="H107" s="249" t="s">
        <v>159</v>
      </c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  <c r="S107" s="249"/>
      <c r="T107" s="249"/>
      <c r="U107" s="192">
        <v>10</v>
      </c>
      <c r="V107" s="192"/>
      <c r="W107" s="192"/>
      <c r="X107" s="193" t="s">
        <v>9</v>
      </c>
      <c r="Y107" s="193"/>
      <c r="Z107" s="194"/>
      <c r="AA107" s="194"/>
      <c r="AB107" s="194"/>
      <c r="AC107" s="250"/>
    </row>
    <row r="108" ht="21.75" customHeight="1" spans="2:29">
      <c r="B108" s="188">
        <v>102</v>
      </c>
      <c r="C108" s="189"/>
      <c r="D108" s="251">
        <v>5255312</v>
      </c>
      <c r="E108" s="251"/>
      <c r="F108" s="251"/>
      <c r="G108" s="251"/>
      <c r="H108" s="249" t="s">
        <v>160</v>
      </c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  <c r="S108" s="249"/>
      <c r="T108" s="249"/>
      <c r="U108" s="192">
        <v>50</v>
      </c>
      <c r="V108" s="192"/>
      <c r="W108" s="192"/>
      <c r="X108" s="193" t="s">
        <v>9</v>
      </c>
      <c r="Y108" s="193"/>
      <c r="Z108" s="194"/>
      <c r="AA108" s="194"/>
      <c r="AB108" s="194"/>
      <c r="AC108" s="250"/>
    </row>
    <row r="109" ht="21.75" customHeight="1" spans="2:29">
      <c r="B109" s="188">
        <v>103</v>
      </c>
      <c r="C109" s="189"/>
      <c r="D109" s="251">
        <v>5266796</v>
      </c>
      <c r="E109" s="251"/>
      <c r="F109" s="251"/>
      <c r="G109" s="251"/>
      <c r="H109" s="249" t="s">
        <v>161</v>
      </c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  <c r="S109" s="249"/>
      <c r="T109" s="249"/>
      <c r="U109" s="192">
        <v>100</v>
      </c>
      <c r="V109" s="192"/>
      <c r="W109" s="192"/>
      <c r="X109" s="193" t="s">
        <v>9</v>
      </c>
      <c r="Y109" s="193"/>
      <c r="Z109" s="194"/>
      <c r="AA109" s="194"/>
      <c r="AB109" s="194"/>
      <c r="AC109" s="250"/>
    </row>
    <row r="110" ht="21.75" customHeight="1" spans="2:29">
      <c r="B110" s="188">
        <v>104</v>
      </c>
      <c r="C110" s="189"/>
      <c r="D110" s="249" t="s">
        <v>162</v>
      </c>
      <c r="E110" s="249"/>
      <c r="F110" s="249"/>
      <c r="G110" s="249"/>
      <c r="H110" s="249" t="s">
        <v>163</v>
      </c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  <c r="S110" s="249"/>
      <c r="T110" s="249"/>
      <c r="U110" s="192">
        <v>210</v>
      </c>
      <c r="V110" s="192"/>
      <c r="W110" s="192"/>
      <c r="X110" s="193" t="s">
        <v>9</v>
      </c>
      <c r="Y110" s="193"/>
      <c r="Z110" s="194"/>
      <c r="AA110" s="194"/>
      <c r="AB110" s="194"/>
      <c r="AC110" s="250"/>
    </row>
    <row r="111" ht="21.75" customHeight="1" spans="2:29">
      <c r="B111" s="188">
        <v>105</v>
      </c>
      <c r="C111" s="189"/>
      <c r="D111" s="249" t="s">
        <v>164</v>
      </c>
      <c r="E111" s="249"/>
      <c r="F111" s="249"/>
      <c r="G111" s="249"/>
      <c r="H111" s="249" t="s">
        <v>165</v>
      </c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  <c r="U111" s="192">
        <v>50</v>
      </c>
      <c r="V111" s="192"/>
      <c r="W111" s="192"/>
      <c r="X111" s="193" t="s">
        <v>9</v>
      </c>
      <c r="Y111" s="193"/>
      <c r="Z111" s="194"/>
      <c r="AA111" s="194"/>
      <c r="AB111" s="194"/>
      <c r="AC111" s="250"/>
    </row>
    <row r="112" ht="21.75" customHeight="1" spans="2:29">
      <c r="B112" s="188">
        <v>106</v>
      </c>
      <c r="C112" s="189"/>
      <c r="D112" s="251">
        <v>5263530</v>
      </c>
      <c r="E112" s="251"/>
      <c r="F112" s="251"/>
      <c r="G112" s="251"/>
      <c r="H112" s="249" t="s">
        <v>166</v>
      </c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  <c r="S112" s="249"/>
      <c r="T112" s="249"/>
      <c r="U112" s="192">
        <v>70</v>
      </c>
      <c r="V112" s="192"/>
      <c r="W112" s="192"/>
      <c r="X112" s="193" t="s">
        <v>9</v>
      </c>
      <c r="Y112" s="193"/>
      <c r="Z112" s="194"/>
      <c r="AA112" s="194"/>
      <c r="AB112" s="194"/>
      <c r="AC112" s="250"/>
    </row>
    <row r="113" ht="21.75" customHeight="1" spans="2:29">
      <c r="B113" s="188">
        <v>107</v>
      </c>
      <c r="C113" s="189"/>
      <c r="D113" s="251">
        <v>5256541</v>
      </c>
      <c r="E113" s="251"/>
      <c r="F113" s="251"/>
      <c r="G113" s="251"/>
      <c r="H113" s="249" t="s">
        <v>167</v>
      </c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  <c r="S113" s="249"/>
      <c r="T113" s="249"/>
      <c r="U113" s="192">
        <v>10</v>
      </c>
      <c r="V113" s="192"/>
      <c r="W113" s="192"/>
      <c r="X113" s="193" t="s">
        <v>9</v>
      </c>
      <c r="Y113" s="193"/>
      <c r="Z113" s="194"/>
      <c r="AA113" s="194"/>
      <c r="AB113" s="194"/>
      <c r="AC113" s="250"/>
    </row>
    <row r="114" ht="21.75" customHeight="1" spans="2:29">
      <c r="B114" s="188">
        <v>108</v>
      </c>
      <c r="C114" s="189"/>
      <c r="D114" s="251">
        <v>4980644</v>
      </c>
      <c r="E114" s="251"/>
      <c r="F114" s="251"/>
      <c r="G114" s="251"/>
      <c r="H114" s="249" t="s">
        <v>168</v>
      </c>
      <c r="I114" s="249"/>
      <c r="J114" s="249"/>
      <c r="K114" s="249"/>
      <c r="L114" s="249"/>
      <c r="M114" s="249"/>
      <c r="N114" s="249"/>
      <c r="O114" s="249"/>
      <c r="P114" s="249"/>
      <c r="Q114" s="249"/>
      <c r="R114" s="249"/>
      <c r="S114" s="249"/>
      <c r="T114" s="249"/>
      <c r="U114" s="192">
        <v>30</v>
      </c>
      <c r="V114" s="192"/>
      <c r="W114" s="192"/>
      <c r="X114" s="193" t="s">
        <v>9</v>
      </c>
      <c r="Y114" s="193"/>
      <c r="Z114" s="194"/>
      <c r="AA114" s="194"/>
      <c r="AB114" s="194"/>
      <c r="AC114" s="250"/>
    </row>
    <row r="115" ht="21.75" customHeight="1" spans="2:29">
      <c r="B115" s="188">
        <v>109</v>
      </c>
      <c r="C115" s="189"/>
      <c r="D115" s="251">
        <v>5254612</v>
      </c>
      <c r="E115" s="251"/>
      <c r="F115" s="251"/>
      <c r="G115" s="251"/>
      <c r="H115" s="249" t="s">
        <v>169</v>
      </c>
      <c r="I115" s="249"/>
      <c r="J115" s="249"/>
      <c r="K115" s="249"/>
      <c r="L115" s="249"/>
      <c r="M115" s="249"/>
      <c r="N115" s="249"/>
      <c r="O115" s="249"/>
      <c r="P115" s="249"/>
      <c r="Q115" s="249"/>
      <c r="R115" s="249"/>
      <c r="S115" s="249"/>
      <c r="T115" s="249"/>
      <c r="U115" s="192">
        <v>20</v>
      </c>
      <c r="V115" s="192"/>
      <c r="W115" s="192"/>
      <c r="X115" s="193" t="s">
        <v>9</v>
      </c>
      <c r="Y115" s="193"/>
      <c r="Z115" s="194"/>
      <c r="AA115" s="194"/>
      <c r="AB115" s="194"/>
      <c r="AC115" s="250"/>
    </row>
    <row r="116" ht="21.75" customHeight="1" spans="2:29">
      <c r="B116" s="188">
        <v>110</v>
      </c>
      <c r="C116" s="189"/>
      <c r="D116" s="251">
        <v>5262903</v>
      </c>
      <c r="E116" s="251"/>
      <c r="F116" s="251"/>
      <c r="G116" s="251"/>
      <c r="H116" s="249" t="s">
        <v>170</v>
      </c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  <c r="S116" s="249"/>
      <c r="T116" s="249"/>
      <c r="U116" s="192">
        <v>50</v>
      </c>
      <c r="V116" s="192"/>
      <c r="W116" s="192"/>
      <c r="X116" s="193" t="s">
        <v>9</v>
      </c>
      <c r="Y116" s="193"/>
      <c r="Z116" s="194"/>
      <c r="AA116" s="194"/>
      <c r="AB116" s="194"/>
      <c r="AC116" s="250"/>
    </row>
    <row r="117" ht="21.75" customHeight="1" spans="2:29">
      <c r="B117" s="188">
        <v>111</v>
      </c>
      <c r="C117" s="189"/>
      <c r="D117" s="249" t="s">
        <v>171</v>
      </c>
      <c r="E117" s="249"/>
      <c r="F117" s="249"/>
      <c r="G117" s="249"/>
      <c r="H117" s="249" t="s">
        <v>172</v>
      </c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  <c r="S117" s="249"/>
      <c r="T117" s="249"/>
      <c r="U117" s="192">
        <v>100</v>
      </c>
      <c r="V117" s="192"/>
      <c r="W117" s="192"/>
      <c r="X117" s="193" t="s">
        <v>9</v>
      </c>
      <c r="Y117" s="193"/>
      <c r="Z117" s="194"/>
      <c r="AA117" s="194"/>
      <c r="AB117" s="194"/>
      <c r="AC117" s="250"/>
    </row>
    <row r="118" ht="21.75" customHeight="1" spans="2:29">
      <c r="B118" s="188">
        <v>112</v>
      </c>
      <c r="C118" s="189"/>
      <c r="D118" s="249" t="s">
        <v>173</v>
      </c>
      <c r="E118" s="249"/>
      <c r="F118" s="249"/>
      <c r="G118" s="249"/>
      <c r="H118" s="249" t="s">
        <v>174</v>
      </c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  <c r="S118" s="249"/>
      <c r="T118" s="249"/>
      <c r="U118" s="192">
        <v>100</v>
      </c>
      <c r="V118" s="192"/>
      <c r="W118" s="192"/>
      <c r="X118" s="193" t="s">
        <v>9</v>
      </c>
      <c r="Y118" s="193"/>
      <c r="Z118" s="194"/>
      <c r="AA118" s="194"/>
      <c r="AB118" s="194"/>
      <c r="AC118" s="250"/>
    </row>
    <row r="119" ht="21.75" customHeight="1" spans="2:29">
      <c r="B119" s="188">
        <v>113</v>
      </c>
      <c r="C119" s="189"/>
      <c r="D119" s="251">
        <v>5285501</v>
      </c>
      <c r="E119" s="251"/>
      <c r="F119" s="251"/>
      <c r="G119" s="251"/>
      <c r="H119" s="249" t="s">
        <v>175</v>
      </c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  <c r="S119" s="249"/>
      <c r="T119" s="249"/>
      <c r="U119" s="192">
        <v>30</v>
      </c>
      <c r="V119" s="192"/>
      <c r="W119" s="192"/>
      <c r="X119" s="193" t="s">
        <v>9</v>
      </c>
      <c r="Y119" s="193"/>
      <c r="Z119" s="194"/>
      <c r="AA119" s="194"/>
      <c r="AB119" s="194"/>
      <c r="AC119" s="250"/>
    </row>
    <row r="120" ht="21.75" customHeight="1" spans="2:29">
      <c r="B120" s="188">
        <v>114</v>
      </c>
      <c r="C120" s="189"/>
      <c r="D120" s="251">
        <v>5255538</v>
      </c>
      <c r="E120" s="251"/>
      <c r="F120" s="251"/>
      <c r="G120" s="251"/>
      <c r="H120" s="249" t="s">
        <v>176</v>
      </c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  <c r="S120" s="249"/>
      <c r="T120" s="249"/>
      <c r="U120" s="192">
        <v>100</v>
      </c>
      <c r="V120" s="192"/>
      <c r="W120" s="192"/>
      <c r="X120" s="193" t="s">
        <v>9</v>
      </c>
      <c r="Y120" s="193"/>
      <c r="Z120" s="194"/>
      <c r="AA120" s="194"/>
      <c r="AB120" s="194"/>
      <c r="AC120" s="250"/>
    </row>
    <row r="121" ht="21.75" customHeight="1" spans="2:29">
      <c r="B121" s="188">
        <v>115</v>
      </c>
      <c r="C121" s="189"/>
      <c r="D121" s="251">
        <v>3932475</v>
      </c>
      <c r="E121" s="251"/>
      <c r="F121" s="251"/>
      <c r="G121" s="251"/>
      <c r="H121" s="249" t="s">
        <v>177</v>
      </c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  <c r="S121" s="249"/>
      <c r="T121" s="249"/>
      <c r="U121" s="192">
        <v>100</v>
      </c>
      <c r="V121" s="192"/>
      <c r="W121" s="192"/>
      <c r="X121" s="193" t="s">
        <v>9</v>
      </c>
      <c r="Y121" s="193"/>
      <c r="Z121" s="194"/>
      <c r="AA121" s="194"/>
      <c r="AB121" s="194"/>
      <c r="AC121" s="250"/>
    </row>
    <row r="122" customHeight="1" spans="2:29">
      <c r="B122" s="188">
        <v>116</v>
      </c>
      <c r="C122" s="189"/>
      <c r="D122" s="251">
        <v>5255313</v>
      </c>
      <c r="E122" s="251"/>
      <c r="F122" s="251"/>
      <c r="G122" s="251"/>
      <c r="H122" s="249" t="s">
        <v>178</v>
      </c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  <c r="S122" s="249"/>
      <c r="T122" s="249"/>
      <c r="U122" s="192">
        <v>400</v>
      </c>
      <c r="V122" s="192"/>
      <c r="W122" s="192"/>
      <c r="X122" s="193" t="s">
        <v>9</v>
      </c>
      <c r="Y122" s="193"/>
      <c r="Z122" s="194"/>
      <c r="AA122" s="194"/>
      <c r="AB122" s="194"/>
      <c r="AC122" s="250"/>
    </row>
    <row r="123" ht="21.75" customHeight="1" spans="2:29">
      <c r="B123" s="188">
        <v>117</v>
      </c>
      <c r="C123" s="189"/>
      <c r="D123" s="251">
        <v>5259557</v>
      </c>
      <c r="E123" s="251"/>
      <c r="F123" s="251"/>
      <c r="G123" s="251"/>
      <c r="H123" s="249" t="s">
        <v>179</v>
      </c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  <c r="S123" s="249"/>
      <c r="T123" s="249"/>
      <c r="U123" s="192">
        <v>3</v>
      </c>
      <c r="V123" s="192"/>
      <c r="W123" s="192"/>
      <c r="X123" s="193" t="s">
        <v>9</v>
      </c>
      <c r="Y123" s="193"/>
      <c r="Z123" s="194"/>
      <c r="AA123" s="194"/>
      <c r="AB123" s="194"/>
      <c r="AC123" s="250"/>
    </row>
    <row r="124" ht="21.75" customHeight="1" spans="2:29">
      <c r="B124" s="188">
        <v>118</v>
      </c>
      <c r="C124" s="189"/>
      <c r="D124" s="251">
        <v>559170630</v>
      </c>
      <c r="E124" s="251"/>
      <c r="F124" s="251"/>
      <c r="G124" s="251"/>
      <c r="H124" s="249" t="s">
        <v>180</v>
      </c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  <c r="S124" s="249"/>
      <c r="T124" s="249"/>
      <c r="U124" s="192">
        <v>60</v>
      </c>
      <c r="V124" s="192"/>
      <c r="W124" s="192"/>
      <c r="X124" s="193" t="s">
        <v>78</v>
      </c>
      <c r="Y124" s="193"/>
      <c r="Z124" s="194"/>
      <c r="AA124" s="194"/>
      <c r="AB124" s="194"/>
      <c r="AC124" s="250"/>
    </row>
    <row r="125" customHeight="1" spans="2:29">
      <c r="B125" s="188">
        <v>119</v>
      </c>
      <c r="C125" s="189"/>
      <c r="D125" s="251">
        <v>3974030</v>
      </c>
      <c r="E125" s="251"/>
      <c r="F125" s="251"/>
      <c r="G125" s="251"/>
      <c r="H125" s="249" t="s">
        <v>181</v>
      </c>
      <c r="I125" s="249"/>
      <c r="J125" s="249"/>
      <c r="K125" s="249"/>
      <c r="L125" s="249"/>
      <c r="M125" s="249"/>
      <c r="N125" s="249"/>
      <c r="O125" s="249"/>
      <c r="P125" s="249"/>
      <c r="Q125" s="249"/>
      <c r="R125" s="249"/>
      <c r="S125" s="249"/>
      <c r="T125" s="249"/>
      <c r="U125" s="192">
        <v>20</v>
      </c>
      <c r="V125" s="192"/>
      <c r="W125" s="192"/>
      <c r="X125" s="193" t="s">
        <v>9</v>
      </c>
      <c r="Y125" s="193"/>
      <c r="Z125" s="194"/>
      <c r="AA125" s="194"/>
      <c r="AB125" s="194"/>
      <c r="AC125" s="250"/>
    </row>
    <row r="126" customHeight="1" spans="2:29">
      <c r="B126" s="188">
        <v>120</v>
      </c>
      <c r="C126" s="189"/>
      <c r="D126" s="249" t="s">
        <v>182</v>
      </c>
      <c r="E126" s="249"/>
      <c r="F126" s="249"/>
      <c r="G126" s="249"/>
      <c r="H126" s="249" t="s">
        <v>183</v>
      </c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  <c r="S126" s="249"/>
      <c r="T126" s="249"/>
      <c r="U126" s="192">
        <v>10</v>
      </c>
      <c r="V126" s="192"/>
      <c r="W126" s="192"/>
      <c r="X126" s="193" t="s">
        <v>9</v>
      </c>
      <c r="Y126" s="193"/>
      <c r="Z126" s="194"/>
      <c r="AA126" s="194"/>
      <c r="AB126" s="194"/>
      <c r="AC126" s="250"/>
    </row>
    <row r="127" customHeight="1" spans="2:29">
      <c r="B127" s="188">
        <v>121</v>
      </c>
      <c r="C127" s="189"/>
      <c r="D127" s="249" t="s">
        <v>184</v>
      </c>
      <c r="E127" s="249"/>
      <c r="F127" s="249"/>
      <c r="G127" s="249"/>
      <c r="H127" s="249" t="s">
        <v>185</v>
      </c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  <c r="S127" s="249"/>
      <c r="T127" s="249"/>
      <c r="U127" s="192">
        <v>30</v>
      </c>
      <c r="V127" s="192"/>
      <c r="W127" s="192"/>
      <c r="X127" s="193" t="s">
        <v>9</v>
      </c>
      <c r="Y127" s="193"/>
      <c r="Z127" s="194"/>
      <c r="AA127" s="194"/>
      <c r="AB127" s="194"/>
      <c r="AC127" s="250"/>
    </row>
    <row r="128" customHeight="1" spans="2:29">
      <c r="B128" s="188">
        <v>122</v>
      </c>
      <c r="C128" s="189"/>
      <c r="D128" s="249" t="s">
        <v>186</v>
      </c>
      <c r="E128" s="249"/>
      <c r="F128" s="249"/>
      <c r="G128" s="249"/>
      <c r="H128" s="249" t="s">
        <v>187</v>
      </c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  <c r="S128" s="249"/>
      <c r="T128" s="249"/>
      <c r="U128" s="192">
        <v>34</v>
      </c>
      <c r="V128" s="192"/>
      <c r="W128" s="192"/>
      <c r="X128" s="193" t="s">
        <v>9</v>
      </c>
      <c r="Y128" s="193"/>
      <c r="Z128" s="194"/>
      <c r="AA128" s="194"/>
      <c r="AB128" s="194"/>
      <c r="AC128" s="250"/>
    </row>
    <row r="129" ht="21.75" customHeight="1" spans="2:29">
      <c r="B129" s="188">
        <v>123</v>
      </c>
      <c r="C129" s="189"/>
      <c r="D129" s="251">
        <v>5254598</v>
      </c>
      <c r="E129" s="251"/>
      <c r="F129" s="251"/>
      <c r="G129" s="251"/>
      <c r="H129" s="249" t="s">
        <v>188</v>
      </c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  <c r="S129" s="249"/>
      <c r="T129" s="249"/>
      <c r="U129" s="192">
        <v>20</v>
      </c>
      <c r="V129" s="192"/>
      <c r="W129" s="192"/>
      <c r="X129" s="193" t="s">
        <v>9</v>
      </c>
      <c r="Y129" s="193"/>
      <c r="Z129" s="194"/>
      <c r="AA129" s="194"/>
      <c r="AB129" s="194"/>
      <c r="AC129" s="250"/>
    </row>
    <row r="130" customHeight="1" spans="2:29">
      <c r="B130" s="188">
        <v>124</v>
      </c>
      <c r="C130" s="189"/>
      <c r="D130" s="249" t="s">
        <v>189</v>
      </c>
      <c r="E130" s="249"/>
      <c r="F130" s="249"/>
      <c r="G130" s="249"/>
      <c r="H130" s="249" t="s">
        <v>190</v>
      </c>
      <c r="I130" s="249"/>
      <c r="J130" s="249"/>
      <c r="K130" s="249"/>
      <c r="L130" s="249"/>
      <c r="M130" s="249"/>
      <c r="N130" s="249"/>
      <c r="O130" s="249"/>
      <c r="P130" s="249"/>
      <c r="Q130" s="249"/>
      <c r="R130" s="249"/>
      <c r="S130" s="249"/>
      <c r="T130" s="249"/>
      <c r="U130" s="192">
        <v>20</v>
      </c>
      <c r="V130" s="192"/>
      <c r="W130" s="192"/>
      <c r="X130" s="193" t="s">
        <v>9</v>
      </c>
      <c r="Y130" s="193"/>
      <c r="Z130" s="194"/>
      <c r="AA130" s="194"/>
      <c r="AB130" s="194"/>
      <c r="AC130" s="250"/>
    </row>
    <row r="131" customHeight="1" spans="2:29">
      <c r="B131" s="188">
        <v>125</v>
      </c>
      <c r="C131" s="189"/>
      <c r="D131" s="251">
        <v>5265369</v>
      </c>
      <c r="E131" s="251"/>
      <c r="F131" s="251"/>
      <c r="G131" s="251"/>
      <c r="H131" s="249" t="s">
        <v>191</v>
      </c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  <c r="S131" s="249"/>
      <c r="T131" s="249"/>
      <c r="U131" s="192">
        <v>5</v>
      </c>
      <c r="V131" s="192"/>
      <c r="W131" s="192"/>
      <c r="X131" s="193" t="s">
        <v>9</v>
      </c>
      <c r="Y131" s="193"/>
      <c r="Z131" s="194"/>
      <c r="AA131" s="194"/>
      <c r="AB131" s="194"/>
      <c r="AC131" s="250"/>
    </row>
    <row r="132" ht="21.75" customHeight="1" spans="2:29">
      <c r="B132" s="188">
        <v>126</v>
      </c>
      <c r="C132" s="189"/>
      <c r="D132" s="251">
        <v>5254599</v>
      </c>
      <c r="E132" s="251"/>
      <c r="F132" s="251"/>
      <c r="G132" s="251"/>
      <c r="H132" s="249" t="s">
        <v>192</v>
      </c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  <c r="S132" s="249"/>
      <c r="T132" s="249"/>
      <c r="U132" s="192">
        <v>70</v>
      </c>
      <c r="V132" s="192"/>
      <c r="W132" s="192"/>
      <c r="X132" s="193" t="s">
        <v>9</v>
      </c>
      <c r="Y132" s="193"/>
      <c r="Z132" s="194"/>
      <c r="AA132" s="194"/>
      <c r="AB132" s="194"/>
      <c r="AC132" s="250"/>
    </row>
    <row r="133" customHeight="1" spans="2:29">
      <c r="B133" s="188">
        <v>127</v>
      </c>
      <c r="C133" s="189"/>
      <c r="D133" s="251">
        <v>5265266</v>
      </c>
      <c r="E133" s="251"/>
      <c r="F133" s="251"/>
      <c r="G133" s="251"/>
      <c r="H133" s="249" t="s">
        <v>193</v>
      </c>
      <c r="I133" s="249"/>
      <c r="J133" s="249"/>
      <c r="K133" s="249"/>
      <c r="L133" s="249"/>
      <c r="M133" s="249"/>
      <c r="N133" s="249"/>
      <c r="O133" s="249"/>
      <c r="P133" s="249"/>
      <c r="Q133" s="249"/>
      <c r="R133" s="249"/>
      <c r="S133" s="249"/>
      <c r="T133" s="249"/>
      <c r="U133" s="192">
        <v>120</v>
      </c>
      <c r="V133" s="192"/>
      <c r="W133" s="192"/>
      <c r="X133" s="193" t="s">
        <v>9</v>
      </c>
      <c r="Y133" s="193"/>
      <c r="Z133" s="194"/>
      <c r="AA133" s="194"/>
      <c r="AB133" s="194"/>
      <c r="AC133" s="250"/>
    </row>
    <row r="134" ht="21.75" customHeight="1" spans="2:29">
      <c r="B134" s="188">
        <v>128</v>
      </c>
      <c r="C134" s="189"/>
      <c r="D134" s="251">
        <v>5255314</v>
      </c>
      <c r="E134" s="251"/>
      <c r="F134" s="251"/>
      <c r="G134" s="251"/>
      <c r="H134" s="249" t="s">
        <v>194</v>
      </c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  <c r="S134" s="249"/>
      <c r="T134" s="249"/>
      <c r="U134" s="192">
        <v>280</v>
      </c>
      <c r="V134" s="192"/>
      <c r="W134" s="192"/>
      <c r="X134" s="193" t="s">
        <v>9</v>
      </c>
      <c r="Y134" s="193"/>
      <c r="Z134" s="194"/>
      <c r="AA134" s="194"/>
      <c r="AB134" s="194"/>
      <c r="AC134" s="250"/>
    </row>
    <row r="135" ht="21.75" customHeight="1" spans="2:29">
      <c r="B135" s="188">
        <v>129</v>
      </c>
      <c r="C135" s="189"/>
      <c r="D135" s="251">
        <v>4990818</v>
      </c>
      <c r="E135" s="251"/>
      <c r="F135" s="251"/>
      <c r="G135" s="251"/>
      <c r="H135" s="249" t="s">
        <v>195</v>
      </c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192">
        <v>30</v>
      </c>
      <c r="V135" s="192"/>
      <c r="W135" s="192"/>
      <c r="X135" s="193" t="s">
        <v>9</v>
      </c>
      <c r="Y135" s="193"/>
      <c r="Z135" s="194"/>
      <c r="AA135" s="194"/>
      <c r="AB135" s="194"/>
      <c r="AC135" s="250"/>
    </row>
    <row r="136" customHeight="1" spans="2:29">
      <c r="B136" s="188">
        <v>130</v>
      </c>
      <c r="C136" s="189"/>
      <c r="D136" s="249" t="s">
        <v>196</v>
      </c>
      <c r="E136" s="249"/>
      <c r="F136" s="249"/>
      <c r="G136" s="249"/>
      <c r="H136" s="249" t="s">
        <v>197</v>
      </c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  <c r="S136" s="249"/>
      <c r="T136" s="249"/>
      <c r="U136" s="192">
        <v>24</v>
      </c>
      <c r="V136" s="192"/>
      <c r="W136" s="192"/>
      <c r="X136" s="193" t="s">
        <v>9</v>
      </c>
      <c r="Y136" s="193"/>
      <c r="Z136" s="194"/>
      <c r="AA136" s="194"/>
      <c r="AB136" s="194"/>
      <c r="AC136" s="250"/>
    </row>
    <row r="137" ht="21.75" customHeight="1" spans="2:29">
      <c r="B137" s="188">
        <v>131</v>
      </c>
      <c r="C137" s="189"/>
      <c r="D137" s="249" t="s">
        <v>198</v>
      </c>
      <c r="E137" s="249"/>
      <c r="F137" s="249"/>
      <c r="G137" s="249"/>
      <c r="H137" s="249" t="s">
        <v>199</v>
      </c>
      <c r="I137" s="249"/>
      <c r="J137" s="249"/>
      <c r="K137" s="249"/>
      <c r="L137" s="249"/>
      <c r="M137" s="249"/>
      <c r="N137" s="249"/>
      <c r="O137" s="249"/>
      <c r="P137" s="249"/>
      <c r="Q137" s="249"/>
      <c r="R137" s="249"/>
      <c r="S137" s="249"/>
      <c r="T137" s="249"/>
      <c r="U137" s="192">
        <v>40</v>
      </c>
      <c r="V137" s="192"/>
      <c r="W137" s="192"/>
      <c r="X137" s="193" t="s">
        <v>9</v>
      </c>
      <c r="Y137" s="193"/>
      <c r="Z137" s="194"/>
      <c r="AA137" s="194"/>
      <c r="AB137" s="194"/>
      <c r="AC137" s="250"/>
    </row>
    <row r="138" customHeight="1" spans="2:29">
      <c r="B138" s="188">
        <v>132</v>
      </c>
      <c r="C138" s="189"/>
      <c r="D138" s="249" t="s">
        <v>200</v>
      </c>
      <c r="E138" s="249"/>
      <c r="F138" s="249"/>
      <c r="G138" s="249"/>
      <c r="H138" s="249" t="s">
        <v>201</v>
      </c>
      <c r="I138" s="249"/>
      <c r="J138" s="249"/>
      <c r="K138" s="249"/>
      <c r="L138" s="249"/>
      <c r="M138" s="249"/>
      <c r="N138" s="249"/>
      <c r="O138" s="249"/>
      <c r="P138" s="249"/>
      <c r="Q138" s="249"/>
      <c r="R138" s="249"/>
      <c r="S138" s="249"/>
      <c r="T138" s="249"/>
      <c r="U138" s="192">
        <v>4</v>
      </c>
      <c r="V138" s="192"/>
      <c r="W138" s="192"/>
      <c r="X138" s="193" t="s">
        <v>9</v>
      </c>
      <c r="Y138" s="193"/>
      <c r="Z138" s="194"/>
      <c r="AA138" s="194"/>
      <c r="AB138" s="194"/>
      <c r="AC138" s="250"/>
    </row>
    <row r="139" ht="21.75" customHeight="1" spans="2:29">
      <c r="B139" s="188">
        <v>133</v>
      </c>
      <c r="C139" s="189"/>
      <c r="D139" s="249" t="s">
        <v>202</v>
      </c>
      <c r="E139" s="249"/>
      <c r="F139" s="249"/>
      <c r="G139" s="249"/>
      <c r="H139" s="249" t="s">
        <v>203</v>
      </c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  <c r="S139" s="249"/>
      <c r="T139" s="249"/>
      <c r="U139" s="192">
        <v>3</v>
      </c>
      <c r="V139" s="192"/>
      <c r="W139" s="192"/>
      <c r="X139" s="193" t="s">
        <v>9</v>
      </c>
      <c r="Y139" s="193"/>
      <c r="Z139" s="194"/>
      <c r="AA139" s="194"/>
      <c r="AB139" s="194"/>
      <c r="AC139" s="250"/>
    </row>
    <row r="140" ht="21.75" customHeight="1" spans="2:29">
      <c r="B140" s="188">
        <v>134</v>
      </c>
      <c r="C140" s="189"/>
      <c r="D140" s="249" t="s">
        <v>204</v>
      </c>
      <c r="E140" s="249"/>
      <c r="F140" s="249"/>
      <c r="G140" s="249"/>
      <c r="H140" s="249" t="s">
        <v>205</v>
      </c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  <c r="T140" s="249"/>
      <c r="U140" s="192">
        <v>10</v>
      </c>
      <c r="V140" s="192"/>
      <c r="W140" s="192"/>
      <c r="X140" s="193" t="s">
        <v>9</v>
      </c>
      <c r="Y140" s="193"/>
      <c r="Z140" s="194"/>
      <c r="AA140" s="194"/>
      <c r="AB140" s="194"/>
      <c r="AC140" s="250"/>
    </row>
    <row r="141" ht="21.75" customHeight="1" spans="2:29">
      <c r="B141" s="188">
        <v>135</v>
      </c>
      <c r="C141" s="189"/>
      <c r="D141" s="249" t="s">
        <v>206</v>
      </c>
      <c r="E141" s="249"/>
      <c r="F141" s="249"/>
      <c r="G141" s="249"/>
      <c r="H141" s="249" t="s">
        <v>207</v>
      </c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192">
        <v>10</v>
      </c>
      <c r="V141" s="192"/>
      <c r="W141" s="192"/>
      <c r="X141" s="193" t="s">
        <v>9</v>
      </c>
      <c r="Y141" s="193"/>
      <c r="Z141" s="194"/>
      <c r="AA141" s="194"/>
      <c r="AB141" s="194"/>
      <c r="AC141" s="250"/>
    </row>
    <row r="142" ht="21.75" customHeight="1" spans="2:29">
      <c r="B142" s="188">
        <v>136</v>
      </c>
      <c r="C142" s="189"/>
      <c r="D142" s="249" t="s">
        <v>208</v>
      </c>
      <c r="E142" s="249"/>
      <c r="F142" s="249"/>
      <c r="G142" s="249"/>
      <c r="H142" s="249" t="s">
        <v>209</v>
      </c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192">
        <v>50</v>
      </c>
      <c r="V142" s="192"/>
      <c r="W142" s="192"/>
      <c r="X142" s="193" t="s">
        <v>9</v>
      </c>
      <c r="Y142" s="193"/>
      <c r="Z142" s="194"/>
      <c r="AA142" s="194"/>
      <c r="AB142" s="194"/>
      <c r="AC142" s="250"/>
    </row>
    <row r="143" ht="21.75" customHeight="1" spans="2:29">
      <c r="B143" s="188">
        <v>137</v>
      </c>
      <c r="C143" s="189"/>
      <c r="D143" s="251">
        <v>5261340</v>
      </c>
      <c r="E143" s="251"/>
      <c r="F143" s="251"/>
      <c r="G143" s="251"/>
      <c r="H143" s="249" t="s">
        <v>210</v>
      </c>
      <c r="I143" s="249"/>
      <c r="J143" s="249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192">
        <v>150</v>
      </c>
      <c r="V143" s="192"/>
      <c r="W143" s="192"/>
      <c r="X143" s="193" t="s">
        <v>9</v>
      </c>
      <c r="Y143" s="193"/>
      <c r="Z143" s="194"/>
      <c r="AA143" s="194"/>
      <c r="AB143" s="194"/>
      <c r="AC143" s="250"/>
    </row>
    <row r="144" ht="21.75" customHeight="1" spans="2:29">
      <c r="B144" s="188">
        <v>138</v>
      </c>
      <c r="C144" s="189"/>
      <c r="D144" s="249" t="s">
        <v>211</v>
      </c>
      <c r="E144" s="249"/>
      <c r="F144" s="249"/>
      <c r="G144" s="249"/>
      <c r="H144" s="249" t="s">
        <v>212</v>
      </c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192">
        <v>80</v>
      </c>
      <c r="V144" s="192"/>
      <c r="W144" s="192"/>
      <c r="X144" s="193" t="s">
        <v>9</v>
      </c>
      <c r="Y144" s="193"/>
      <c r="Z144" s="194"/>
      <c r="AA144" s="194"/>
      <c r="AB144" s="194"/>
      <c r="AC144" s="250"/>
    </row>
    <row r="145" ht="21.75" customHeight="1" spans="2:29">
      <c r="B145" s="188">
        <v>139</v>
      </c>
      <c r="C145" s="189"/>
      <c r="D145" s="251">
        <v>5342941</v>
      </c>
      <c r="E145" s="251"/>
      <c r="F145" s="251"/>
      <c r="G145" s="251"/>
      <c r="H145" s="249" t="s">
        <v>213</v>
      </c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192">
        <v>25</v>
      </c>
      <c r="V145" s="192"/>
      <c r="W145" s="192"/>
      <c r="X145" s="193" t="s">
        <v>9</v>
      </c>
      <c r="Y145" s="193"/>
      <c r="Z145" s="194"/>
      <c r="AA145" s="194"/>
      <c r="AB145" s="194"/>
      <c r="AC145" s="250"/>
    </row>
    <row r="146" ht="21.75" customHeight="1" spans="2:29">
      <c r="B146" s="188">
        <v>140</v>
      </c>
      <c r="C146" s="189"/>
      <c r="D146" s="251">
        <v>4983279</v>
      </c>
      <c r="E146" s="251"/>
      <c r="F146" s="251"/>
      <c r="G146" s="251"/>
      <c r="H146" s="249" t="s">
        <v>214</v>
      </c>
      <c r="I146" s="249"/>
      <c r="J146" s="249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192">
        <v>20</v>
      </c>
      <c r="V146" s="192"/>
      <c r="W146" s="192"/>
      <c r="X146" s="193" t="s">
        <v>9</v>
      </c>
      <c r="Y146" s="193"/>
      <c r="Z146" s="194"/>
      <c r="AA146" s="194"/>
      <c r="AB146" s="194"/>
      <c r="AC146" s="250"/>
    </row>
    <row r="147" ht="21.75" customHeight="1" spans="2:29">
      <c r="B147" s="188">
        <v>141</v>
      </c>
      <c r="C147" s="189"/>
      <c r="D147" s="249" t="s">
        <v>215</v>
      </c>
      <c r="E147" s="249"/>
      <c r="F147" s="249"/>
      <c r="G147" s="249"/>
      <c r="H147" s="249" t="s">
        <v>216</v>
      </c>
      <c r="I147" s="249"/>
      <c r="J147" s="249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192">
        <v>10</v>
      </c>
      <c r="V147" s="192"/>
      <c r="W147" s="192"/>
      <c r="X147" s="193" t="s">
        <v>9</v>
      </c>
      <c r="Y147" s="193"/>
      <c r="Z147" s="194"/>
      <c r="AA147" s="194"/>
      <c r="AB147" s="194"/>
      <c r="AC147" s="250"/>
    </row>
    <row r="148" ht="21.75" customHeight="1" spans="2:29">
      <c r="B148" s="188">
        <v>142</v>
      </c>
      <c r="C148" s="189"/>
      <c r="D148" s="249" t="s">
        <v>217</v>
      </c>
      <c r="E148" s="249"/>
      <c r="F148" s="249"/>
      <c r="G148" s="249"/>
      <c r="H148" s="249" t="s">
        <v>218</v>
      </c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192">
        <v>20</v>
      </c>
      <c r="V148" s="192"/>
      <c r="W148" s="192"/>
      <c r="X148" s="193" t="s">
        <v>9</v>
      </c>
      <c r="Y148" s="193"/>
      <c r="Z148" s="194"/>
      <c r="AA148" s="194"/>
      <c r="AB148" s="194"/>
      <c r="AC148" s="250"/>
    </row>
    <row r="149" ht="21.75" customHeight="1" spans="2:29">
      <c r="B149" s="188">
        <v>143</v>
      </c>
      <c r="C149" s="189"/>
      <c r="D149" s="251">
        <v>5321114</v>
      </c>
      <c r="E149" s="251"/>
      <c r="F149" s="251"/>
      <c r="G149" s="251"/>
      <c r="H149" s="249" t="s">
        <v>219</v>
      </c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192">
        <v>60</v>
      </c>
      <c r="V149" s="192"/>
      <c r="W149" s="192"/>
      <c r="X149" s="193" t="s">
        <v>9</v>
      </c>
      <c r="Y149" s="193"/>
      <c r="Z149" s="194"/>
      <c r="AA149" s="194"/>
      <c r="AB149" s="194"/>
      <c r="AC149" s="250"/>
    </row>
    <row r="150" customHeight="1" spans="2:29">
      <c r="B150" s="188">
        <v>144</v>
      </c>
      <c r="C150" s="189"/>
      <c r="D150" s="249" t="s">
        <v>220</v>
      </c>
      <c r="E150" s="249"/>
      <c r="F150" s="249"/>
      <c r="G150" s="249"/>
      <c r="H150" s="249" t="s">
        <v>221</v>
      </c>
      <c r="I150" s="249"/>
      <c r="J150" s="249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192">
        <v>4</v>
      </c>
      <c r="V150" s="192"/>
      <c r="W150" s="192"/>
      <c r="X150" s="193" t="s">
        <v>9</v>
      </c>
      <c r="Y150" s="193"/>
      <c r="Z150" s="194"/>
      <c r="AA150" s="194"/>
      <c r="AB150" s="194"/>
      <c r="AC150" s="250"/>
    </row>
    <row r="151" customHeight="1" spans="2:29">
      <c r="B151" s="188">
        <v>145</v>
      </c>
      <c r="C151" s="189"/>
      <c r="D151" s="249" t="s">
        <v>222</v>
      </c>
      <c r="E151" s="249"/>
      <c r="F151" s="249"/>
      <c r="G151" s="249"/>
      <c r="H151" s="249" t="s">
        <v>223</v>
      </c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192">
        <v>7</v>
      </c>
      <c r="V151" s="192"/>
      <c r="W151" s="192"/>
      <c r="X151" s="193" t="s">
        <v>9</v>
      </c>
      <c r="Y151" s="193"/>
      <c r="Z151" s="194"/>
      <c r="AA151" s="194"/>
      <c r="AB151" s="194"/>
      <c r="AC151" s="250"/>
    </row>
    <row r="152" ht="21.75" customHeight="1" spans="2:29">
      <c r="B152" s="188">
        <v>146</v>
      </c>
      <c r="C152" s="189"/>
      <c r="D152" s="249" t="s">
        <v>224</v>
      </c>
      <c r="E152" s="249"/>
      <c r="F152" s="249"/>
      <c r="G152" s="249"/>
      <c r="H152" s="249" t="s">
        <v>225</v>
      </c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192">
        <v>4</v>
      </c>
      <c r="V152" s="192"/>
      <c r="W152" s="192"/>
      <c r="X152" s="193" t="s">
        <v>9</v>
      </c>
      <c r="Y152" s="193"/>
      <c r="Z152" s="194"/>
      <c r="AA152" s="194"/>
      <c r="AB152" s="194"/>
      <c r="AC152" s="250"/>
    </row>
    <row r="153" ht="21.75" customHeight="1" spans="2:29">
      <c r="B153" s="188">
        <v>147</v>
      </c>
      <c r="C153" s="189"/>
      <c r="D153" s="249" t="s">
        <v>226</v>
      </c>
      <c r="E153" s="249"/>
      <c r="F153" s="249"/>
      <c r="G153" s="249"/>
      <c r="H153" s="249" t="s">
        <v>227</v>
      </c>
      <c r="I153" s="249"/>
      <c r="J153" s="249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192">
        <v>4</v>
      </c>
      <c r="V153" s="192"/>
      <c r="W153" s="192"/>
      <c r="X153" s="193" t="s">
        <v>9</v>
      </c>
      <c r="Y153" s="193"/>
      <c r="Z153" s="194"/>
      <c r="AA153" s="194"/>
      <c r="AB153" s="194"/>
      <c r="AC153" s="250"/>
    </row>
    <row r="154" customHeight="1" spans="2:29">
      <c r="B154" s="188">
        <v>148</v>
      </c>
      <c r="C154" s="189"/>
      <c r="D154" s="251">
        <v>3790137</v>
      </c>
      <c r="E154" s="251"/>
      <c r="F154" s="251"/>
      <c r="G154" s="251"/>
      <c r="H154" s="249" t="s">
        <v>228</v>
      </c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192">
        <v>30</v>
      </c>
      <c r="V154" s="192"/>
      <c r="W154" s="192"/>
      <c r="X154" s="193" t="s">
        <v>9</v>
      </c>
      <c r="Y154" s="193"/>
      <c r="Z154" s="194"/>
      <c r="AA154" s="194"/>
      <c r="AB154" s="194"/>
      <c r="AC154" s="250"/>
    </row>
    <row r="155" ht="21.75" customHeight="1" spans="2:29">
      <c r="B155" s="188">
        <v>149</v>
      </c>
      <c r="C155" s="189"/>
      <c r="D155" s="249" t="s">
        <v>229</v>
      </c>
      <c r="E155" s="249"/>
      <c r="F155" s="249"/>
      <c r="G155" s="249"/>
      <c r="H155" s="249" t="s">
        <v>230</v>
      </c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192">
        <v>10</v>
      </c>
      <c r="V155" s="192"/>
      <c r="W155" s="192"/>
      <c r="X155" s="193" t="s">
        <v>9</v>
      </c>
      <c r="Y155" s="193"/>
      <c r="Z155" s="194"/>
      <c r="AA155" s="194"/>
      <c r="AB155" s="194"/>
      <c r="AC155" s="250"/>
    </row>
    <row r="156" ht="21.75" customHeight="1" spans="2:29">
      <c r="B156" s="188">
        <v>150</v>
      </c>
      <c r="C156" s="189"/>
      <c r="D156" s="251">
        <v>5370734</v>
      </c>
      <c r="E156" s="251"/>
      <c r="F156" s="251"/>
      <c r="G156" s="251"/>
      <c r="H156" s="249" t="s">
        <v>231</v>
      </c>
      <c r="I156" s="249"/>
      <c r="J156" s="249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192">
        <v>2</v>
      </c>
      <c r="V156" s="192"/>
      <c r="W156" s="192"/>
      <c r="X156" s="193" t="s">
        <v>9</v>
      </c>
      <c r="Y156" s="193"/>
      <c r="Z156" s="194"/>
      <c r="AA156" s="194"/>
      <c r="AB156" s="194"/>
      <c r="AC156" s="250"/>
    </row>
    <row r="157" ht="21.75" customHeight="1" spans="2:29">
      <c r="B157" s="188">
        <v>151</v>
      </c>
      <c r="C157" s="189"/>
      <c r="D157" s="249" t="s">
        <v>232</v>
      </c>
      <c r="E157" s="249"/>
      <c r="F157" s="249"/>
      <c r="G157" s="249"/>
      <c r="H157" s="249" t="s">
        <v>233</v>
      </c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  <c r="S157" s="249"/>
      <c r="T157" s="249"/>
      <c r="U157" s="192">
        <v>150</v>
      </c>
      <c r="V157" s="192"/>
      <c r="W157" s="192"/>
      <c r="X157" s="193" t="s">
        <v>9</v>
      </c>
      <c r="Y157" s="193"/>
      <c r="Z157" s="194"/>
      <c r="AA157" s="194"/>
      <c r="AB157" s="194"/>
      <c r="AC157" s="250"/>
    </row>
    <row r="158" customHeight="1" spans="2:29">
      <c r="B158" s="188">
        <v>152</v>
      </c>
      <c r="C158" s="189"/>
      <c r="D158" s="249" t="s">
        <v>234</v>
      </c>
      <c r="E158" s="249"/>
      <c r="F158" s="249"/>
      <c r="G158" s="249"/>
      <c r="H158" s="249" t="s">
        <v>235</v>
      </c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  <c r="S158" s="249"/>
      <c r="T158" s="249"/>
      <c r="U158" s="192">
        <v>36</v>
      </c>
      <c r="V158" s="192"/>
      <c r="W158" s="192"/>
      <c r="X158" s="193" t="s">
        <v>9</v>
      </c>
      <c r="Y158" s="193"/>
      <c r="Z158" s="194"/>
      <c r="AA158" s="194"/>
      <c r="AB158" s="194"/>
      <c r="AC158" s="250"/>
    </row>
    <row r="159" customHeight="1" spans="2:29">
      <c r="B159" s="188">
        <v>153</v>
      </c>
      <c r="C159" s="189"/>
      <c r="D159" s="249" t="s">
        <v>236</v>
      </c>
      <c r="E159" s="249"/>
      <c r="F159" s="249"/>
      <c r="G159" s="249"/>
      <c r="H159" s="249" t="s">
        <v>237</v>
      </c>
      <c r="I159" s="249"/>
      <c r="J159" s="249"/>
      <c r="K159" s="249"/>
      <c r="L159" s="249"/>
      <c r="M159" s="249"/>
      <c r="N159" s="249"/>
      <c r="O159" s="249"/>
      <c r="P159" s="249"/>
      <c r="Q159" s="249"/>
      <c r="R159" s="249"/>
      <c r="S159" s="249"/>
      <c r="T159" s="249"/>
      <c r="U159" s="192">
        <v>924</v>
      </c>
      <c r="V159" s="192"/>
      <c r="W159" s="192"/>
      <c r="X159" s="193" t="s">
        <v>9</v>
      </c>
      <c r="Y159" s="193"/>
      <c r="Z159" s="194"/>
      <c r="AA159" s="194"/>
      <c r="AB159" s="194"/>
      <c r="AC159" s="250"/>
    </row>
    <row r="160" ht="21.75" customHeight="1" spans="2:29">
      <c r="B160" s="188">
        <v>154</v>
      </c>
      <c r="C160" s="189"/>
      <c r="D160" s="249" t="s">
        <v>238</v>
      </c>
      <c r="E160" s="249"/>
      <c r="F160" s="249"/>
      <c r="G160" s="249"/>
      <c r="H160" s="249" t="s">
        <v>239</v>
      </c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  <c r="S160" s="249"/>
      <c r="T160" s="249"/>
      <c r="U160" s="192">
        <v>150</v>
      </c>
      <c r="V160" s="192"/>
      <c r="W160" s="192"/>
      <c r="X160" s="193" t="s">
        <v>9</v>
      </c>
      <c r="Y160" s="193"/>
      <c r="Z160" s="194"/>
      <c r="AA160" s="194"/>
      <c r="AB160" s="194"/>
      <c r="AC160" s="250"/>
    </row>
    <row r="161" ht="21.75" customHeight="1" spans="2:29">
      <c r="B161" s="188">
        <v>155</v>
      </c>
      <c r="C161" s="189"/>
      <c r="D161" s="249" t="s">
        <v>240</v>
      </c>
      <c r="E161" s="249"/>
      <c r="F161" s="249"/>
      <c r="G161" s="249"/>
      <c r="H161" s="249" t="s">
        <v>241</v>
      </c>
      <c r="I161" s="249"/>
      <c r="J161" s="249"/>
      <c r="K161" s="249"/>
      <c r="L161" s="249"/>
      <c r="M161" s="249"/>
      <c r="N161" s="249"/>
      <c r="O161" s="249"/>
      <c r="P161" s="249"/>
      <c r="Q161" s="249"/>
      <c r="R161" s="249"/>
      <c r="S161" s="249"/>
      <c r="T161" s="249"/>
      <c r="U161" s="192">
        <v>30</v>
      </c>
      <c r="V161" s="192"/>
      <c r="W161" s="192"/>
      <c r="X161" s="193" t="s">
        <v>9</v>
      </c>
      <c r="Y161" s="193"/>
      <c r="Z161" s="194"/>
      <c r="AA161" s="194"/>
      <c r="AB161" s="194"/>
      <c r="AC161" s="250"/>
    </row>
    <row r="162" customHeight="1" spans="2:29">
      <c r="B162" s="188">
        <v>156</v>
      </c>
      <c r="C162" s="189"/>
      <c r="D162" s="249" t="s">
        <v>242</v>
      </c>
      <c r="E162" s="249"/>
      <c r="F162" s="249"/>
      <c r="G162" s="249"/>
      <c r="H162" s="249" t="s">
        <v>243</v>
      </c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  <c r="S162" s="249"/>
      <c r="T162" s="249"/>
      <c r="U162" s="192">
        <v>924</v>
      </c>
      <c r="V162" s="192"/>
      <c r="W162" s="192"/>
      <c r="X162" s="193" t="s">
        <v>9</v>
      </c>
      <c r="Y162" s="193"/>
      <c r="Z162" s="194"/>
      <c r="AA162" s="194"/>
      <c r="AB162" s="194"/>
      <c r="AC162" s="250"/>
    </row>
    <row r="163" customHeight="1" spans="2:29">
      <c r="B163" s="188">
        <v>157</v>
      </c>
      <c r="C163" s="189"/>
      <c r="D163" s="251">
        <v>5283275</v>
      </c>
      <c r="E163" s="251"/>
      <c r="F163" s="251"/>
      <c r="G163" s="251"/>
      <c r="H163" s="249" t="s">
        <v>244</v>
      </c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  <c r="S163" s="249"/>
      <c r="T163" s="249"/>
      <c r="U163" s="192">
        <v>12</v>
      </c>
      <c r="V163" s="192"/>
      <c r="W163" s="192"/>
      <c r="X163" s="193" t="s">
        <v>9</v>
      </c>
      <c r="Y163" s="193"/>
      <c r="Z163" s="194"/>
      <c r="AA163" s="194"/>
      <c r="AB163" s="194"/>
      <c r="AC163" s="250"/>
    </row>
    <row r="164" customHeight="1" spans="2:29">
      <c r="B164" s="188">
        <v>158</v>
      </c>
      <c r="C164" s="189"/>
      <c r="D164" s="251">
        <v>5296723</v>
      </c>
      <c r="E164" s="251"/>
      <c r="F164" s="251"/>
      <c r="G164" s="251"/>
      <c r="H164" s="249" t="s">
        <v>245</v>
      </c>
      <c r="I164" s="249"/>
      <c r="J164" s="249"/>
      <c r="K164" s="249"/>
      <c r="L164" s="249"/>
      <c r="M164" s="249"/>
      <c r="N164" s="249"/>
      <c r="O164" s="249"/>
      <c r="P164" s="249"/>
      <c r="Q164" s="249"/>
      <c r="R164" s="249"/>
      <c r="S164" s="249"/>
      <c r="T164" s="249"/>
      <c r="U164" s="192">
        <v>6</v>
      </c>
      <c r="V164" s="192"/>
      <c r="W164" s="192"/>
      <c r="X164" s="193" t="s">
        <v>9</v>
      </c>
      <c r="Y164" s="193"/>
      <c r="Z164" s="194"/>
      <c r="AA164" s="194"/>
      <c r="AB164" s="194"/>
      <c r="AC164" s="250"/>
    </row>
    <row r="165" customHeight="1" spans="2:29">
      <c r="B165" s="188">
        <v>159</v>
      </c>
      <c r="C165" s="189"/>
      <c r="D165" s="251">
        <v>5589197</v>
      </c>
      <c r="E165" s="251"/>
      <c r="F165" s="251"/>
      <c r="G165" s="251"/>
      <c r="H165" s="249" t="s">
        <v>246</v>
      </c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  <c r="S165" s="249"/>
      <c r="T165" s="249"/>
      <c r="U165" s="192">
        <v>40</v>
      </c>
      <c r="V165" s="192"/>
      <c r="W165" s="192"/>
      <c r="X165" s="193" t="s">
        <v>9</v>
      </c>
      <c r="Y165" s="193"/>
      <c r="Z165" s="194"/>
      <c r="AA165" s="194"/>
      <c r="AB165" s="194"/>
      <c r="AC165" s="250"/>
    </row>
    <row r="166" ht="21.75" customHeight="1" spans="2:29">
      <c r="B166" s="188">
        <v>160</v>
      </c>
      <c r="C166" s="189"/>
      <c r="D166" s="249" t="s">
        <v>247</v>
      </c>
      <c r="E166" s="249"/>
      <c r="F166" s="249"/>
      <c r="G166" s="249"/>
      <c r="H166" s="249" t="s">
        <v>248</v>
      </c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  <c r="S166" s="249"/>
      <c r="T166" s="249"/>
      <c r="U166" s="192">
        <v>400</v>
      </c>
      <c r="V166" s="192"/>
      <c r="W166" s="192"/>
      <c r="X166" s="193" t="s">
        <v>9</v>
      </c>
      <c r="Y166" s="193"/>
      <c r="Z166" s="194"/>
      <c r="AA166" s="194"/>
      <c r="AB166" s="194"/>
      <c r="AC166" s="250"/>
    </row>
    <row r="167" ht="21.75" customHeight="1" spans="2:29">
      <c r="B167" s="188">
        <v>161</v>
      </c>
      <c r="C167" s="189"/>
      <c r="D167" s="251">
        <v>5257526</v>
      </c>
      <c r="E167" s="251"/>
      <c r="F167" s="251"/>
      <c r="G167" s="251"/>
      <c r="H167" s="249" t="s">
        <v>249</v>
      </c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192">
        <v>280</v>
      </c>
      <c r="V167" s="192"/>
      <c r="W167" s="192"/>
      <c r="X167" s="193" t="s">
        <v>9</v>
      </c>
      <c r="Y167" s="193"/>
      <c r="Z167" s="194"/>
      <c r="AA167" s="194"/>
      <c r="AB167" s="194"/>
      <c r="AC167" s="250"/>
    </row>
    <row r="168" ht="21.75" customHeight="1" spans="2:29">
      <c r="B168" s="188">
        <v>162</v>
      </c>
      <c r="C168" s="189"/>
      <c r="D168" s="251">
        <v>3903652</v>
      </c>
      <c r="E168" s="251"/>
      <c r="F168" s="251"/>
      <c r="G168" s="251"/>
      <c r="H168" s="249" t="s">
        <v>250</v>
      </c>
      <c r="I168" s="249"/>
      <c r="J168" s="249"/>
      <c r="K168" s="249"/>
      <c r="L168" s="249"/>
      <c r="M168" s="249"/>
      <c r="N168" s="249"/>
      <c r="O168" s="249"/>
      <c r="P168" s="249"/>
      <c r="Q168" s="249"/>
      <c r="R168" s="249"/>
      <c r="S168" s="249"/>
      <c r="T168" s="249"/>
      <c r="U168" s="192">
        <v>20</v>
      </c>
      <c r="V168" s="192"/>
      <c r="W168" s="192"/>
      <c r="X168" s="193" t="s">
        <v>9</v>
      </c>
      <c r="Y168" s="193"/>
      <c r="Z168" s="194"/>
      <c r="AA168" s="194"/>
      <c r="AB168" s="194"/>
      <c r="AC168" s="250"/>
    </row>
    <row r="169" customHeight="1" spans="2:29">
      <c r="B169" s="188">
        <v>163</v>
      </c>
      <c r="C169" s="189"/>
      <c r="D169" s="251">
        <v>4982040</v>
      </c>
      <c r="E169" s="251"/>
      <c r="F169" s="251"/>
      <c r="G169" s="251"/>
      <c r="H169" s="249" t="s">
        <v>251</v>
      </c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  <c r="S169" s="249"/>
      <c r="T169" s="249"/>
      <c r="U169" s="192">
        <v>50</v>
      </c>
      <c r="V169" s="192"/>
      <c r="W169" s="192"/>
      <c r="X169" s="193" t="s">
        <v>9</v>
      </c>
      <c r="Y169" s="193"/>
      <c r="Z169" s="194"/>
      <c r="AA169" s="194"/>
      <c r="AB169" s="194"/>
      <c r="AC169" s="250"/>
    </row>
    <row r="170" ht="21.75" customHeight="1" spans="2:29">
      <c r="B170" s="188">
        <v>164</v>
      </c>
      <c r="C170" s="189"/>
      <c r="D170" s="249" t="s">
        <v>252</v>
      </c>
      <c r="E170" s="249"/>
      <c r="F170" s="249"/>
      <c r="G170" s="249"/>
      <c r="H170" s="249" t="s">
        <v>253</v>
      </c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  <c r="S170" s="249"/>
      <c r="T170" s="249"/>
      <c r="U170" s="192">
        <v>200</v>
      </c>
      <c r="V170" s="192"/>
      <c r="W170" s="192"/>
      <c r="X170" s="193" t="s">
        <v>9</v>
      </c>
      <c r="Y170" s="193"/>
      <c r="Z170" s="194"/>
      <c r="AA170" s="194"/>
      <c r="AB170" s="194"/>
      <c r="AC170" s="250"/>
    </row>
    <row r="171" ht="21.75" customHeight="1" spans="2:29">
      <c r="B171" s="188">
        <v>165</v>
      </c>
      <c r="C171" s="189"/>
      <c r="D171" s="249" t="s">
        <v>254</v>
      </c>
      <c r="E171" s="249"/>
      <c r="F171" s="249"/>
      <c r="G171" s="249"/>
      <c r="H171" s="249" t="s">
        <v>255</v>
      </c>
      <c r="I171" s="249"/>
      <c r="J171" s="249"/>
      <c r="K171" s="249"/>
      <c r="L171" s="249"/>
      <c r="M171" s="249"/>
      <c r="N171" s="249"/>
      <c r="O171" s="249"/>
      <c r="P171" s="249"/>
      <c r="Q171" s="249"/>
      <c r="R171" s="249"/>
      <c r="S171" s="249"/>
      <c r="T171" s="249"/>
      <c r="U171" s="192">
        <v>16</v>
      </c>
      <c r="V171" s="192"/>
      <c r="W171" s="192"/>
      <c r="X171" s="193" t="s">
        <v>9</v>
      </c>
      <c r="Y171" s="193"/>
      <c r="Z171" s="194"/>
      <c r="AA171" s="194"/>
      <c r="AB171" s="194"/>
      <c r="AC171" s="250"/>
    </row>
    <row r="172" ht="21.75" customHeight="1" spans="2:29">
      <c r="B172" s="188">
        <v>166</v>
      </c>
      <c r="C172" s="189"/>
      <c r="D172" s="249" t="s">
        <v>256</v>
      </c>
      <c r="E172" s="249"/>
      <c r="F172" s="249"/>
      <c r="G172" s="249"/>
      <c r="H172" s="249" t="s">
        <v>257</v>
      </c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  <c r="S172" s="249"/>
      <c r="T172" s="249"/>
      <c r="U172" s="192">
        <v>5</v>
      </c>
      <c r="V172" s="192"/>
      <c r="W172" s="192"/>
      <c r="X172" s="193" t="s">
        <v>9</v>
      </c>
      <c r="Y172" s="193"/>
      <c r="Z172" s="194"/>
      <c r="AA172" s="194"/>
      <c r="AB172" s="194"/>
      <c r="AC172" s="250"/>
    </row>
    <row r="173" ht="21.75" customHeight="1" spans="2:29">
      <c r="B173" s="188">
        <v>167</v>
      </c>
      <c r="C173" s="189"/>
      <c r="D173" s="251">
        <v>4990291</v>
      </c>
      <c r="E173" s="251"/>
      <c r="F173" s="251"/>
      <c r="G173" s="251"/>
      <c r="H173" s="249" t="s">
        <v>258</v>
      </c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  <c r="S173" s="249"/>
      <c r="T173" s="249"/>
      <c r="U173" s="192">
        <v>2</v>
      </c>
      <c r="V173" s="192"/>
      <c r="W173" s="192"/>
      <c r="X173" s="193" t="s">
        <v>9</v>
      </c>
      <c r="Y173" s="193"/>
      <c r="Z173" s="194"/>
      <c r="AA173" s="194"/>
      <c r="AB173" s="194"/>
      <c r="AC173" s="250"/>
    </row>
    <row r="174" ht="21.75" customHeight="1" spans="2:29">
      <c r="B174" s="231">
        <v>168</v>
      </c>
      <c r="C174" s="232"/>
      <c r="D174" s="252">
        <v>5318533</v>
      </c>
      <c r="E174" s="252"/>
      <c r="F174" s="252"/>
      <c r="G174" s="252"/>
      <c r="H174" s="253" t="s">
        <v>259</v>
      </c>
      <c r="I174" s="253"/>
      <c r="J174" s="253"/>
      <c r="K174" s="253"/>
      <c r="L174" s="253"/>
      <c r="M174" s="253"/>
      <c r="N174" s="253"/>
      <c r="O174" s="253"/>
      <c r="P174" s="253"/>
      <c r="Q174" s="253"/>
      <c r="R174" s="253"/>
      <c r="S174" s="253"/>
      <c r="T174" s="253"/>
      <c r="U174" s="235">
        <v>30</v>
      </c>
      <c r="V174" s="235"/>
      <c r="W174" s="235"/>
      <c r="X174" s="236" t="s">
        <v>9</v>
      </c>
      <c r="Y174" s="236"/>
      <c r="Z174" s="237"/>
      <c r="AA174" s="237"/>
      <c r="AB174" s="237"/>
      <c r="AC174" s="254"/>
    </row>
    <row r="175" ht="7.05" customHeight="1" spans="2:29">
      <c r="B175" s="255"/>
      <c r="C175" s="255"/>
      <c r="D175" s="255"/>
      <c r="E175" s="255"/>
      <c r="F175" s="255"/>
      <c r="G175" s="255"/>
      <c r="H175" s="255"/>
      <c r="I175" s="255"/>
      <c r="J175" s="255"/>
      <c r="K175" s="255"/>
      <c r="L175" s="255"/>
      <c r="M175" s="255"/>
      <c r="N175" s="255"/>
      <c r="O175" s="255"/>
      <c r="P175" s="255"/>
      <c r="Q175" s="255"/>
      <c r="R175" s="255"/>
      <c r="S175" s="255"/>
      <c r="T175" s="255"/>
      <c r="U175" s="255"/>
      <c r="V175" s="255"/>
      <c r="W175" s="255"/>
      <c r="X175" s="255"/>
      <c r="Y175" s="255"/>
      <c r="Z175" s="255"/>
      <c r="AA175" s="255"/>
      <c r="AB175" s="255"/>
      <c r="AC175" s="255"/>
    </row>
  </sheetData>
  <mergeCells count="1015">
    <mergeCell ref="B3:AC3"/>
    <mergeCell ref="B7:C7"/>
    <mergeCell ref="D7:G7"/>
    <mergeCell ref="H7:T7"/>
    <mergeCell ref="U7:W7"/>
    <mergeCell ref="X7:Y7"/>
    <mergeCell ref="Z7:AC7"/>
    <mergeCell ref="B8:C8"/>
    <mergeCell ref="D8:G8"/>
    <mergeCell ref="H8:T8"/>
    <mergeCell ref="U8:W8"/>
    <mergeCell ref="X8:Y8"/>
    <mergeCell ref="Z8:AC8"/>
    <mergeCell ref="B9:C9"/>
    <mergeCell ref="D9:G9"/>
    <mergeCell ref="H9:T9"/>
    <mergeCell ref="U9:W9"/>
    <mergeCell ref="X9:Y9"/>
    <mergeCell ref="Z9:AC9"/>
    <mergeCell ref="B10:C10"/>
    <mergeCell ref="D10:G10"/>
    <mergeCell ref="H10:T10"/>
    <mergeCell ref="U10:W10"/>
    <mergeCell ref="X10:Y10"/>
    <mergeCell ref="Z10:AC10"/>
    <mergeCell ref="B11:C11"/>
    <mergeCell ref="D11:G11"/>
    <mergeCell ref="H11:T11"/>
    <mergeCell ref="U11:W11"/>
    <mergeCell ref="X11:Y11"/>
    <mergeCell ref="Z11:AC11"/>
    <mergeCell ref="B12:C12"/>
    <mergeCell ref="D12:G12"/>
    <mergeCell ref="H12:T12"/>
    <mergeCell ref="U12:W12"/>
    <mergeCell ref="X12:Y12"/>
    <mergeCell ref="Z12:AC12"/>
    <mergeCell ref="B13:C13"/>
    <mergeCell ref="D13:G13"/>
    <mergeCell ref="H13:T13"/>
    <mergeCell ref="U13:W13"/>
    <mergeCell ref="X13:Y13"/>
    <mergeCell ref="Z13:AC13"/>
    <mergeCell ref="B14:C14"/>
    <mergeCell ref="D14:G14"/>
    <mergeCell ref="H14:T14"/>
    <mergeCell ref="U14:W14"/>
    <mergeCell ref="X14:Y14"/>
    <mergeCell ref="Z14:AC14"/>
    <mergeCell ref="B15:C15"/>
    <mergeCell ref="D15:G15"/>
    <mergeCell ref="H15:T15"/>
    <mergeCell ref="U15:W15"/>
    <mergeCell ref="X15:Y15"/>
    <mergeCell ref="Z15:AC15"/>
    <mergeCell ref="B16:C16"/>
    <mergeCell ref="D16:G16"/>
    <mergeCell ref="H16:T16"/>
    <mergeCell ref="U16:W16"/>
    <mergeCell ref="X16:Y16"/>
    <mergeCell ref="Z16:AC16"/>
    <mergeCell ref="B17:C17"/>
    <mergeCell ref="D17:G17"/>
    <mergeCell ref="H17:T17"/>
    <mergeCell ref="U17:W17"/>
    <mergeCell ref="X17:Y17"/>
    <mergeCell ref="Z17:AC17"/>
    <mergeCell ref="B18:C18"/>
    <mergeCell ref="D18:G18"/>
    <mergeCell ref="H18:T18"/>
    <mergeCell ref="U18:W18"/>
    <mergeCell ref="X18:Y18"/>
    <mergeCell ref="Z18:AC18"/>
    <mergeCell ref="B19:C19"/>
    <mergeCell ref="D19:G19"/>
    <mergeCell ref="H19:T19"/>
    <mergeCell ref="U19:W19"/>
    <mergeCell ref="X19:Y19"/>
    <mergeCell ref="Z19:AC19"/>
    <mergeCell ref="B20:C20"/>
    <mergeCell ref="D20:G20"/>
    <mergeCell ref="H20:T20"/>
    <mergeCell ref="U20:W20"/>
    <mergeCell ref="X20:Y20"/>
    <mergeCell ref="Z20:AC20"/>
    <mergeCell ref="B21:C21"/>
    <mergeCell ref="D21:G21"/>
    <mergeCell ref="H21:T21"/>
    <mergeCell ref="U21:W21"/>
    <mergeCell ref="X21:Y21"/>
    <mergeCell ref="Z21:AC21"/>
    <mergeCell ref="B22:C22"/>
    <mergeCell ref="D22:G22"/>
    <mergeCell ref="H22:T22"/>
    <mergeCell ref="U22:W22"/>
    <mergeCell ref="X22:Y22"/>
    <mergeCell ref="Z22:AC22"/>
    <mergeCell ref="B23:C23"/>
    <mergeCell ref="D23:G23"/>
    <mergeCell ref="H23:T23"/>
    <mergeCell ref="U23:W23"/>
    <mergeCell ref="X23:Y23"/>
    <mergeCell ref="Z23:AC23"/>
    <mergeCell ref="B24:C24"/>
    <mergeCell ref="D24:G24"/>
    <mergeCell ref="H24:T24"/>
    <mergeCell ref="U24:W24"/>
    <mergeCell ref="X24:Y24"/>
    <mergeCell ref="Z24:AC24"/>
    <mergeCell ref="B25:C25"/>
    <mergeCell ref="D25:G25"/>
    <mergeCell ref="H25:T25"/>
    <mergeCell ref="U25:W25"/>
    <mergeCell ref="X25:Y25"/>
    <mergeCell ref="Z25:AC25"/>
    <mergeCell ref="B26:C26"/>
    <mergeCell ref="D26:G26"/>
    <mergeCell ref="H26:T26"/>
    <mergeCell ref="U26:W26"/>
    <mergeCell ref="X26:Y26"/>
    <mergeCell ref="Z26:AC26"/>
    <mergeCell ref="B27:C27"/>
    <mergeCell ref="D27:G27"/>
    <mergeCell ref="H27:T27"/>
    <mergeCell ref="U27:W27"/>
    <mergeCell ref="X27:Y27"/>
    <mergeCell ref="Z27:AC27"/>
    <mergeCell ref="B28:C28"/>
    <mergeCell ref="D28:G28"/>
    <mergeCell ref="H28:T28"/>
    <mergeCell ref="U28:W28"/>
    <mergeCell ref="X28:Y28"/>
    <mergeCell ref="Z28:AC28"/>
    <mergeCell ref="B29:C29"/>
    <mergeCell ref="D29:G29"/>
    <mergeCell ref="H29:T29"/>
    <mergeCell ref="U29:W29"/>
    <mergeCell ref="X29:Y29"/>
    <mergeCell ref="Z29:AC29"/>
    <mergeCell ref="B30:C30"/>
    <mergeCell ref="D30:G30"/>
    <mergeCell ref="H30:T30"/>
    <mergeCell ref="U30:W30"/>
    <mergeCell ref="X30:Y30"/>
    <mergeCell ref="Z30:AC30"/>
    <mergeCell ref="B31:C31"/>
    <mergeCell ref="D31:G31"/>
    <mergeCell ref="H31:T31"/>
    <mergeCell ref="U31:W31"/>
    <mergeCell ref="X31:Y31"/>
    <mergeCell ref="Z31:AC31"/>
    <mergeCell ref="B32:C32"/>
    <mergeCell ref="D32:G32"/>
    <mergeCell ref="H32:T32"/>
    <mergeCell ref="U32:W32"/>
    <mergeCell ref="X32:Y32"/>
    <mergeCell ref="Z32:AC32"/>
    <mergeCell ref="B33:C33"/>
    <mergeCell ref="D33:G33"/>
    <mergeCell ref="H33:T33"/>
    <mergeCell ref="U33:W33"/>
    <mergeCell ref="X33:Y33"/>
    <mergeCell ref="Z33:AC33"/>
    <mergeCell ref="B34:C34"/>
    <mergeCell ref="D34:G34"/>
    <mergeCell ref="H34:T34"/>
    <mergeCell ref="U34:W34"/>
    <mergeCell ref="X34:Y34"/>
    <mergeCell ref="Z34:AC34"/>
    <mergeCell ref="B35:C35"/>
    <mergeCell ref="D35:G35"/>
    <mergeCell ref="H35:T35"/>
    <mergeCell ref="U35:W35"/>
    <mergeCell ref="X35:Y35"/>
    <mergeCell ref="Z35:AC35"/>
    <mergeCell ref="B36:C36"/>
    <mergeCell ref="D36:G36"/>
    <mergeCell ref="H36:T36"/>
    <mergeCell ref="U36:W36"/>
    <mergeCell ref="X36:Y36"/>
    <mergeCell ref="Z36:AC36"/>
    <mergeCell ref="B37:C37"/>
    <mergeCell ref="D37:G37"/>
    <mergeCell ref="H37:T37"/>
    <mergeCell ref="U37:W37"/>
    <mergeCell ref="X37:Y37"/>
    <mergeCell ref="Z37:AC37"/>
    <mergeCell ref="B38:C38"/>
    <mergeCell ref="D38:G38"/>
    <mergeCell ref="H38:T38"/>
    <mergeCell ref="U38:W38"/>
    <mergeCell ref="X38:Y38"/>
    <mergeCell ref="Z38:AC38"/>
    <mergeCell ref="B39:C39"/>
    <mergeCell ref="D39:G39"/>
    <mergeCell ref="H39:T39"/>
    <mergeCell ref="U39:W39"/>
    <mergeCell ref="X39:Y39"/>
    <mergeCell ref="Z39:AC39"/>
    <mergeCell ref="B40:C40"/>
    <mergeCell ref="D40:G40"/>
    <mergeCell ref="H40:T40"/>
    <mergeCell ref="U40:W40"/>
    <mergeCell ref="X40:Y40"/>
    <mergeCell ref="Z40:AC40"/>
    <mergeCell ref="B41:C41"/>
    <mergeCell ref="D41:G41"/>
    <mergeCell ref="H41:T41"/>
    <mergeCell ref="U41:W41"/>
    <mergeCell ref="X41:Y41"/>
    <mergeCell ref="Z41:AC41"/>
    <mergeCell ref="B42:C42"/>
    <mergeCell ref="D42:G42"/>
    <mergeCell ref="H42:T42"/>
    <mergeCell ref="U42:W42"/>
    <mergeCell ref="X42:Y42"/>
    <mergeCell ref="Z42:AC42"/>
    <mergeCell ref="B43:C43"/>
    <mergeCell ref="D43:G43"/>
    <mergeCell ref="H43:T43"/>
    <mergeCell ref="U43:W43"/>
    <mergeCell ref="X43:Y43"/>
    <mergeCell ref="Z43:AC43"/>
    <mergeCell ref="B44:C44"/>
    <mergeCell ref="D44:G44"/>
    <mergeCell ref="H44:T44"/>
    <mergeCell ref="U44:W44"/>
    <mergeCell ref="X44:Y44"/>
    <mergeCell ref="Z44:AC44"/>
    <mergeCell ref="B45:C45"/>
    <mergeCell ref="D45:G45"/>
    <mergeCell ref="H45:T45"/>
    <mergeCell ref="U45:W45"/>
    <mergeCell ref="X45:Y45"/>
    <mergeCell ref="Z45:AC45"/>
    <mergeCell ref="B46:C46"/>
    <mergeCell ref="D46:G46"/>
    <mergeCell ref="H46:T46"/>
    <mergeCell ref="U46:W46"/>
    <mergeCell ref="X46:Y46"/>
    <mergeCell ref="Z46:AC46"/>
    <mergeCell ref="B47:C47"/>
    <mergeCell ref="D47:G47"/>
    <mergeCell ref="H47:T47"/>
    <mergeCell ref="U47:W47"/>
    <mergeCell ref="X47:Y47"/>
    <mergeCell ref="Z47:AC47"/>
    <mergeCell ref="B48:C48"/>
    <mergeCell ref="D48:G48"/>
    <mergeCell ref="H48:T48"/>
    <mergeCell ref="U48:W48"/>
    <mergeCell ref="X48:Y48"/>
    <mergeCell ref="Z48:AC48"/>
    <mergeCell ref="B49:C49"/>
    <mergeCell ref="D49:G49"/>
    <mergeCell ref="H49:T49"/>
    <mergeCell ref="U49:W49"/>
    <mergeCell ref="X49:Y49"/>
    <mergeCell ref="Z49:AC49"/>
    <mergeCell ref="B50:C50"/>
    <mergeCell ref="D50:G50"/>
    <mergeCell ref="H50:T50"/>
    <mergeCell ref="U50:W50"/>
    <mergeCell ref="X50:Y50"/>
    <mergeCell ref="Z50:AC50"/>
    <mergeCell ref="B51:C51"/>
    <mergeCell ref="D51:G51"/>
    <mergeCell ref="H51:T51"/>
    <mergeCell ref="U51:W51"/>
    <mergeCell ref="X51:Y51"/>
    <mergeCell ref="Z51:AC51"/>
    <mergeCell ref="B52:C52"/>
    <mergeCell ref="D52:G52"/>
    <mergeCell ref="H52:T52"/>
    <mergeCell ref="U52:W52"/>
    <mergeCell ref="X52:Y52"/>
    <mergeCell ref="Z52:AC52"/>
    <mergeCell ref="B53:C53"/>
    <mergeCell ref="D53:G53"/>
    <mergeCell ref="H53:T53"/>
    <mergeCell ref="U53:W53"/>
    <mergeCell ref="X53:Y53"/>
    <mergeCell ref="Z53:AC53"/>
    <mergeCell ref="B54:C54"/>
    <mergeCell ref="D54:G54"/>
    <mergeCell ref="H54:T54"/>
    <mergeCell ref="U54:W54"/>
    <mergeCell ref="X54:Y54"/>
    <mergeCell ref="Z54:AC54"/>
    <mergeCell ref="B55:C55"/>
    <mergeCell ref="D55:G55"/>
    <mergeCell ref="H55:T55"/>
    <mergeCell ref="U55:W55"/>
    <mergeCell ref="X55:Y55"/>
    <mergeCell ref="Z55:AC55"/>
    <mergeCell ref="B56:C56"/>
    <mergeCell ref="D56:G56"/>
    <mergeCell ref="H56:T56"/>
    <mergeCell ref="U56:W56"/>
    <mergeCell ref="X56:Y56"/>
    <mergeCell ref="Z56:AC56"/>
    <mergeCell ref="B57:C57"/>
    <mergeCell ref="D57:G57"/>
    <mergeCell ref="H57:T57"/>
    <mergeCell ref="U57:W57"/>
    <mergeCell ref="X57:Y57"/>
    <mergeCell ref="Z57:AC57"/>
    <mergeCell ref="B58:C58"/>
    <mergeCell ref="D58:G58"/>
    <mergeCell ref="H58:T58"/>
    <mergeCell ref="U58:W58"/>
    <mergeCell ref="X58:Y58"/>
    <mergeCell ref="Z58:AC58"/>
    <mergeCell ref="B59:C59"/>
    <mergeCell ref="D59:G59"/>
    <mergeCell ref="H59:T59"/>
    <mergeCell ref="U59:W59"/>
    <mergeCell ref="X59:Y59"/>
    <mergeCell ref="Z59:AC59"/>
    <mergeCell ref="B60:C60"/>
    <mergeCell ref="D60:G60"/>
    <mergeCell ref="H60:T60"/>
    <mergeCell ref="U60:W60"/>
    <mergeCell ref="X60:Y60"/>
    <mergeCell ref="Z60:AC60"/>
    <mergeCell ref="B61:C61"/>
    <mergeCell ref="D61:G61"/>
    <mergeCell ref="H61:T61"/>
    <mergeCell ref="U61:W61"/>
    <mergeCell ref="X61:Y61"/>
    <mergeCell ref="Z61:AC61"/>
    <mergeCell ref="B62:C62"/>
    <mergeCell ref="D62:G62"/>
    <mergeCell ref="H62:T62"/>
    <mergeCell ref="U62:W62"/>
    <mergeCell ref="X62:Y62"/>
    <mergeCell ref="Z62:AC62"/>
    <mergeCell ref="B63:C63"/>
    <mergeCell ref="D63:G63"/>
    <mergeCell ref="H63:T63"/>
    <mergeCell ref="U63:W63"/>
    <mergeCell ref="X63:Y63"/>
    <mergeCell ref="Z63:AC63"/>
    <mergeCell ref="B64:C64"/>
    <mergeCell ref="D64:G64"/>
    <mergeCell ref="H64:T64"/>
    <mergeCell ref="U64:W64"/>
    <mergeCell ref="X64:Y64"/>
    <mergeCell ref="Z64:AC64"/>
    <mergeCell ref="B65:C65"/>
    <mergeCell ref="D65:G65"/>
    <mergeCell ref="H65:T65"/>
    <mergeCell ref="U65:W65"/>
    <mergeCell ref="X65:Y65"/>
    <mergeCell ref="Z65:AC65"/>
    <mergeCell ref="B66:C66"/>
    <mergeCell ref="D66:G66"/>
    <mergeCell ref="H66:T66"/>
    <mergeCell ref="U66:W66"/>
    <mergeCell ref="X66:Y66"/>
    <mergeCell ref="Z66:AC66"/>
    <mergeCell ref="B67:C67"/>
    <mergeCell ref="D67:G67"/>
    <mergeCell ref="H67:T67"/>
    <mergeCell ref="U67:W67"/>
    <mergeCell ref="X67:Y67"/>
    <mergeCell ref="Z67:AC67"/>
    <mergeCell ref="B68:C68"/>
    <mergeCell ref="D68:G68"/>
    <mergeCell ref="H68:T68"/>
    <mergeCell ref="U68:W68"/>
    <mergeCell ref="X68:Y68"/>
    <mergeCell ref="Z68:AC68"/>
    <mergeCell ref="B69:C69"/>
    <mergeCell ref="D69:G69"/>
    <mergeCell ref="H69:T69"/>
    <mergeCell ref="U69:W69"/>
    <mergeCell ref="X69:Y69"/>
    <mergeCell ref="Z69:AC69"/>
    <mergeCell ref="B70:C70"/>
    <mergeCell ref="D70:G70"/>
    <mergeCell ref="H70:T70"/>
    <mergeCell ref="U70:W70"/>
    <mergeCell ref="X70:Y70"/>
    <mergeCell ref="Z70:AC70"/>
    <mergeCell ref="B71:C71"/>
    <mergeCell ref="D71:G71"/>
    <mergeCell ref="H71:T71"/>
    <mergeCell ref="U71:W71"/>
    <mergeCell ref="X71:Y71"/>
    <mergeCell ref="Z71:AC71"/>
    <mergeCell ref="B72:C72"/>
    <mergeCell ref="D72:G72"/>
    <mergeCell ref="H72:T72"/>
    <mergeCell ref="U72:W72"/>
    <mergeCell ref="X72:Y72"/>
    <mergeCell ref="Z72:AC72"/>
    <mergeCell ref="B73:C73"/>
    <mergeCell ref="D73:G73"/>
    <mergeCell ref="H73:T73"/>
    <mergeCell ref="U73:W73"/>
    <mergeCell ref="X73:Y73"/>
    <mergeCell ref="Z73:AC73"/>
    <mergeCell ref="B74:C74"/>
    <mergeCell ref="D74:G74"/>
    <mergeCell ref="H74:T74"/>
    <mergeCell ref="U74:W74"/>
    <mergeCell ref="X74:Y74"/>
    <mergeCell ref="Z74:AC74"/>
    <mergeCell ref="B75:C75"/>
    <mergeCell ref="D75:G75"/>
    <mergeCell ref="H75:T75"/>
    <mergeCell ref="U75:W75"/>
    <mergeCell ref="X75:Y75"/>
    <mergeCell ref="Z75:AC75"/>
    <mergeCell ref="B76:C76"/>
    <mergeCell ref="D76:G76"/>
    <mergeCell ref="H76:T76"/>
    <mergeCell ref="U76:W76"/>
    <mergeCell ref="X76:Y76"/>
    <mergeCell ref="Z76:AC76"/>
    <mergeCell ref="B77:C77"/>
    <mergeCell ref="D77:G77"/>
    <mergeCell ref="H77:T77"/>
    <mergeCell ref="U77:W77"/>
    <mergeCell ref="X77:Y77"/>
    <mergeCell ref="Z77:AC77"/>
    <mergeCell ref="B78:C78"/>
    <mergeCell ref="D78:G78"/>
    <mergeCell ref="H78:T78"/>
    <mergeCell ref="U78:W78"/>
    <mergeCell ref="X78:Y78"/>
    <mergeCell ref="Z78:AC78"/>
    <mergeCell ref="B79:C79"/>
    <mergeCell ref="D79:G79"/>
    <mergeCell ref="H79:T79"/>
    <mergeCell ref="U79:W79"/>
    <mergeCell ref="X79:Y79"/>
    <mergeCell ref="Z79:AC79"/>
    <mergeCell ref="B80:C80"/>
    <mergeCell ref="D80:G80"/>
    <mergeCell ref="H80:T80"/>
    <mergeCell ref="U80:W80"/>
    <mergeCell ref="X80:Y80"/>
    <mergeCell ref="Z80:AC80"/>
    <mergeCell ref="B81:C81"/>
    <mergeCell ref="D81:G81"/>
    <mergeCell ref="H81:T81"/>
    <mergeCell ref="U81:W81"/>
    <mergeCell ref="X81:Y81"/>
    <mergeCell ref="Z81:AC81"/>
    <mergeCell ref="B82:C82"/>
    <mergeCell ref="D82:G82"/>
    <mergeCell ref="H82:T82"/>
    <mergeCell ref="U82:W82"/>
    <mergeCell ref="X82:Y82"/>
    <mergeCell ref="Z82:AC82"/>
    <mergeCell ref="B83:C83"/>
    <mergeCell ref="D83:G83"/>
    <mergeCell ref="H83:T83"/>
    <mergeCell ref="U83:W83"/>
    <mergeCell ref="X83:Y83"/>
    <mergeCell ref="Z83:AC83"/>
    <mergeCell ref="B84:C84"/>
    <mergeCell ref="D84:G84"/>
    <mergeCell ref="H84:T84"/>
    <mergeCell ref="U84:W84"/>
    <mergeCell ref="X84:Y84"/>
    <mergeCell ref="Z84:AC84"/>
    <mergeCell ref="B85:C85"/>
    <mergeCell ref="D85:G85"/>
    <mergeCell ref="H85:T85"/>
    <mergeCell ref="U85:W85"/>
    <mergeCell ref="X85:Y85"/>
    <mergeCell ref="Z85:AC85"/>
    <mergeCell ref="B86:C86"/>
    <mergeCell ref="D86:G86"/>
    <mergeCell ref="H86:T86"/>
    <mergeCell ref="U86:W86"/>
    <mergeCell ref="X86:Y86"/>
    <mergeCell ref="Z86:AC86"/>
    <mergeCell ref="B87:C87"/>
    <mergeCell ref="D87:G87"/>
    <mergeCell ref="H87:T87"/>
    <mergeCell ref="U87:W87"/>
    <mergeCell ref="X87:Y87"/>
    <mergeCell ref="Z87:AC87"/>
    <mergeCell ref="B88:C88"/>
    <mergeCell ref="D88:G88"/>
    <mergeCell ref="H88:T88"/>
    <mergeCell ref="U88:W88"/>
    <mergeCell ref="X88:Y88"/>
    <mergeCell ref="Z88:AC88"/>
    <mergeCell ref="B89:C89"/>
    <mergeCell ref="D89:G89"/>
    <mergeCell ref="H89:T89"/>
    <mergeCell ref="U89:W89"/>
    <mergeCell ref="X89:Y89"/>
    <mergeCell ref="Z89:AC89"/>
    <mergeCell ref="B90:C90"/>
    <mergeCell ref="D90:G90"/>
    <mergeCell ref="H90:T90"/>
    <mergeCell ref="U90:W90"/>
    <mergeCell ref="X90:Y90"/>
    <mergeCell ref="Z90:AC90"/>
    <mergeCell ref="B91:C91"/>
    <mergeCell ref="D91:G91"/>
    <mergeCell ref="H91:T91"/>
    <mergeCell ref="U91:W91"/>
    <mergeCell ref="X91:Y91"/>
    <mergeCell ref="Z91:AC91"/>
    <mergeCell ref="B92:C92"/>
    <mergeCell ref="D92:G92"/>
    <mergeCell ref="H92:T92"/>
    <mergeCell ref="U92:W92"/>
    <mergeCell ref="X92:Y92"/>
    <mergeCell ref="Z92:AC92"/>
    <mergeCell ref="B93:C93"/>
    <mergeCell ref="D93:G93"/>
    <mergeCell ref="H93:T93"/>
    <mergeCell ref="U93:W93"/>
    <mergeCell ref="X93:Y93"/>
    <mergeCell ref="Z93:AC93"/>
    <mergeCell ref="B94:C94"/>
    <mergeCell ref="D94:G94"/>
    <mergeCell ref="H94:T94"/>
    <mergeCell ref="U94:W94"/>
    <mergeCell ref="X94:Y94"/>
    <mergeCell ref="Z94:AC94"/>
    <mergeCell ref="B95:C95"/>
    <mergeCell ref="D95:G95"/>
    <mergeCell ref="H95:T95"/>
    <mergeCell ref="U95:W95"/>
    <mergeCell ref="X95:Y95"/>
    <mergeCell ref="Z95:AC95"/>
    <mergeCell ref="B96:C96"/>
    <mergeCell ref="D96:G96"/>
    <mergeCell ref="H96:T96"/>
    <mergeCell ref="U96:W96"/>
    <mergeCell ref="X96:Y96"/>
    <mergeCell ref="Z96:AC96"/>
    <mergeCell ref="B97:C97"/>
    <mergeCell ref="D97:G97"/>
    <mergeCell ref="H97:T97"/>
    <mergeCell ref="U97:W97"/>
    <mergeCell ref="X97:Y97"/>
    <mergeCell ref="Z97:AC97"/>
    <mergeCell ref="B98:C98"/>
    <mergeCell ref="D98:G98"/>
    <mergeCell ref="H98:T98"/>
    <mergeCell ref="U98:W98"/>
    <mergeCell ref="X98:Y98"/>
    <mergeCell ref="Z98:AC98"/>
    <mergeCell ref="B99:C99"/>
    <mergeCell ref="D99:G99"/>
    <mergeCell ref="H99:T99"/>
    <mergeCell ref="U99:W99"/>
    <mergeCell ref="X99:Y99"/>
    <mergeCell ref="Z99:AC99"/>
    <mergeCell ref="B100:C100"/>
    <mergeCell ref="D100:G100"/>
    <mergeCell ref="H100:T100"/>
    <mergeCell ref="U100:W100"/>
    <mergeCell ref="X100:Y100"/>
    <mergeCell ref="Z100:AC100"/>
    <mergeCell ref="B101:C101"/>
    <mergeCell ref="D101:G101"/>
    <mergeCell ref="H101:T101"/>
    <mergeCell ref="U101:W101"/>
    <mergeCell ref="X101:Y101"/>
    <mergeCell ref="Z101:AC101"/>
    <mergeCell ref="B102:C102"/>
    <mergeCell ref="D102:G102"/>
    <mergeCell ref="H102:T102"/>
    <mergeCell ref="U102:W102"/>
    <mergeCell ref="X102:Y102"/>
    <mergeCell ref="Z102:AC102"/>
    <mergeCell ref="B103:C103"/>
    <mergeCell ref="D103:G103"/>
    <mergeCell ref="H103:T103"/>
    <mergeCell ref="U103:W103"/>
    <mergeCell ref="X103:Y103"/>
    <mergeCell ref="Z103:AC103"/>
    <mergeCell ref="B104:C104"/>
    <mergeCell ref="D104:G104"/>
    <mergeCell ref="H104:T104"/>
    <mergeCell ref="U104:W104"/>
    <mergeCell ref="X104:Y104"/>
    <mergeCell ref="Z104:AC104"/>
    <mergeCell ref="B105:C105"/>
    <mergeCell ref="D105:G105"/>
    <mergeCell ref="H105:T105"/>
    <mergeCell ref="U105:W105"/>
    <mergeCell ref="X105:Y105"/>
    <mergeCell ref="Z105:AC105"/>
    <mergeCell ref="B106:C106"/>
    <mergeCell ref="D106:G106"/>
    <mergeCell ref="H106:T106"/>
    <mergeCell ref="U106:W106"/>
    <mergeCell ref="X106:Y106"/>
    <mergeCell ref="Z106:AC106"/>
    <mergeCell ref="B107:C107"/>
    <mergeCell ref="D107:G107"/>
    <mergeCell ref="H107:T107"/>
    <mergeCell ref="U107:W107"/>
    <mergeCell ref="X107:Y107"/>
    <mergeCell ref="Z107:AC107"/>
    <mergeCell ref="B108:C108"/>
    <mergeCell ref="D108:G108"/>
    <mergeCell ref="H108:T108"/>
    <mergeCell ref="U108:W108"/>
    <mergeCell ref="X108:Y108"/>
    <mergeCell ref="Z108:AC108"/>
    <mergeCell ref="B109:C109"/>
    <mergeCell ref="D109:G109"/>
    <mergeCell ref="H109:T109"/>
    <mergeCell ref="U109:W109"/>
    <mergeCell ref="X109:Y109"/>
    <mergeCell ref="Z109:AC109"/>
    <mergeCell ref="B110:C110"/>
    <mergeCell ref="D110:G110"/>
    <mergeCell ref="H110:T110"/>
    <mergeCell ref="U110:W110"/>
    <mergeCell ref="X110:Y110"/>
    <mergeCell ref="Z110:AC110"/>
    <mergeCell ref="B111:C111"/>
    <mergeCell ref="D111:G111"/>
    <mergeCell ref="H111:T111"/>
    <mergeCell ref="U111:W111"/>
    <mergeCell ref="X111:Y111"/>
    <mergeCell ref="Z111:AC111"/>
    <mergeCell ref="B112:C112"/>
    <mergeCell ref="D112:G112"/>
    <mergeCell ref="H112:T112"/>
    <mergeCell ref="U112:W112"/>
    <mergeCell ref="X112:Y112"/>
    <mergeCell ref="Z112:AC112"/>
    <mergeCell ref="B113:C113"/>
    <mergeCell ref="D113:G113"/>
    <mergeCell ref="H113:T113"/>
    <mergeCell ref="U113:W113"/>
    <mergeCell ref="X113:Y113"/>
    <mergeCell ref="Z113:AC113"/>
    <mergeCell ref="B114:C114"/>
    <mergeCell ref="D114:G114"/>
    <mergeCell ref="H114:T114"/>
    <mergeCell ref="U114:W114"/>
    <mergeCell ref="X114:Y114"/>
    <mergeCell ref="Z114:AC114"/>
    <mergeCell ref="B115:C115"/>
    <mergeCell ref="D115:G115"/>
    <mergeCell ref="H115:T115"/>
    <mergeCell ref="U115:W115"/>
    <mergeCell ref="X115:Y115"/>
    <mergeCell ref="Z115:AC115"/>
    <mergeCell ref="B116:C116"/>
    <mergeCell ref="D116:G116"/>
    <mergeCell ref="H116:T116"/>
    <mergeCell ref="U116:W116"/>
    <mergeCell ref="X116:Y116"/>
    <mergeCell ref="Z116:AC116"/>
    <mergeCell ref="B117:C117"/>
    <mergeCell ref="D117:G117"/>
    <mergeCell ref="H117:T117"/>
    <mergeCell ref="U117:W117"/>
    <mergeCell ref="X117:Y117"/>
    <mergeCell ref="Z117:AC117"/>
    <mergeCell ref="B118:C118"/>
    <mergeCell ref="D118:G118"/>
    <mergeCell ref="H118:T118"/>
    <mergeCell ref="U118:W118"/>
    <mergeCell ref="X118:Y118"/>
    <mergeCell ref="Z118:AC118"/>
    <mergeCell ref="B119:C119"/>
    <mergeCell ref="D119:G119"/>
    <mergeCell ref="H119:T119"/>
    <mergeCell ref="U119:W119"/>
    <mergeCell ref="X119:Y119"/>
    <mergeCell ref="Z119:AC119"/>
    <mergeCell ref="B120:C120"/>
    <mergeCell ref="D120:G120"/>
    <mergeCell ref="H120:T120"/>
    <mergeCell ref="U120:W120"/>
    <mergeCell ref="X120:Y120"/>
    <mergeCell ref="Z120:AC120"/>
    <mergeCell ref="B121:C121"/>
    <mergeCell ref="D121:G121"/>
    <mergeCell ref="H121:T121"/>
    <mergeCell ref="U121:W121"/>
    <mergeCell ref="X121:Y121"/>
    <mergeCell ref="Z121:AC121"/>
    <mergeCell ref="B122:C122"/>
    <mergeCell ref="D122:G122"/>
    <mergeCell ref="H122:T122"/>
    <mergeCell ref="U122:W122"/>
    <mergeCell ref="X122:Y122"/>
    <mergeCell ref="Z122:AC122"/>
    <mergeCell ref="B123:C123"/>
    <mergeCell ref="D123:G123"/>
    <mergeCell ref="H123:T123"/>
    <mergeCell ref="U123:W123"/>
    <mergeCell ref="X123:Y123"/>
    <mergeCell ref="Z123:AC123"/>
    <mergeCell ref="B124:C124"/>
    <mergeCell ref="D124:G124"/>
    <mergeCell ref="H124:T124"/>
    <mergeCell ref="U124:W124"/>
    <mergeCell ref="X124:Y124"/>
    <mergeCell ref="Z124:AC124"/>
    <mergeCell ref="B125:C125"/>
    <mergeCell ref="D125:G125"/>
    <mergeCell ref="H125:T125"/>
    <mergeCell ref="U125:W125"/>
    <mergeCell ref="X125:Y125"/>
    <mergeCell ref="Z125:AC125"/>
    <mergeCell ref="B126:C126"/>
    <mergeCell ref="D126:G126"/>
    <mergeCell ref="H126:T126"/>
    <mergeCell ref="U126:W126"/>
    <mergeCell ref="X126:Y126"/>
    <mergeCell ref="Z126:AC126"/>
    <mergeCell ref="B127:C127"/>
    <mergeCell ref="D127:G127"/>
    <mergeCell ref="H127:T127"/>
    <mergeCell ref="U127:W127"/>
    <mergeCell ref="X127:Y127"/>
    <mergeCell ref="Z127:AC127"/>
    <mergeCell ref="B128:C128"/>
    <mergeCell ref="D128:G128"/>
    <mergeCell ref="H128:T128"/>
    <mergeCell ref="U128:W128"/>
    <mergeCell ref="X128:Y128"/>
    <mergeCell ref="Z128:AC128"/>
    <mergeCell ref="B129:C129"/>
    <mergeCell ref="D129:G129"/>
    <mergeCell ref="H129:T129"/>
    <mergeCell ref="U129:W129"/>
    <mergeCell ref="X129:Y129"/>
    <mergeCell ref="Z129:AC129"/>
    <mergeCell ref="B130:C130"/>
    <mergeCell ref="D130:G130"/>
    <mergeCell ref="H130:T130"/>
    <mergeCell ref="U130:W130"/>
    <mergeCell ref="X130:Y130"/>
    <mergeCell ref="Z130:AC130"/>
    <mergeCell ref="B131:C131"/>
    <mergeCell ref="D131:G131"/>
    <mergeCell ref="H131:T131"/>
    <mergeCell ref="U131:W131"/>
    <mergeCell ref="X131:Y131"/>
    <mergeCell ref="Z131:AC131"/>
    <mergeCell ref="B132:C132"/>
    <mergeCell ref="D132:G132"/>
    <mergeCell ref="H132:T132"/>
    <mergeCell ref="U132:W132"/>
    <mergeCell ref="X132:Y132"/>
    <mergeCell ref="Z132:AC132"/>
    <mergeCell ref="B133:C133"/>
    <mergeCell ref="D133:G133"/>
    <mergeCell ref="H133:T133"/>
    <mergeCell ref="U133:W133"/>
    <mergeCell ref="X133:Y133"/>
    <mergeCell ref="Z133:AC133"/>
    <mergeCell ref="B134:C134"/>
    <mergeCell ref="D134:G134"/>
    <mergeCell ref="H134:T134"/>
    <mergeCell ref="U134:W134"/>
    <mergeCell ref="X134:Y134"/>
    <mergeCell ref="Z134:AC134"/>
    <mergeCell ref="B135:C135"/>
    <mergeCell ref="D135:G135"/>
    <mergeCell ref="H135:T135"/>
    <mergeCell ref="U135:W135"/>
    <mergeCell ref="X135:Y135"/>
    <mergeCell ref="Z135:AC135"/>
    <mergeCell ref="B136:C136"/>
    <mergeCell ref="D136:G136"/>
    <mergeCell ref="H136:T136"/>
    <mergeCell ref="U136:W136"/>
    <mergeCell ref="X136:Y136"/>
    <mergeCell ref="Z136:AC136"/>
    <mergeCell ref="B137:C137"/>
    <mergeCell ref="D137:G137"/>
    <mergeCell ref="H137:T137"/>
    <mergeCell ref="U137:W137"/>
    <mergeCell ref="X137:Y137"/>
    <mergeCell ref="Z137:AC137"/>
    <mergeCell ref="B138:C138"/>
    <mergeCell ref="D138:G138"/>
    <mergeCell ref="H138:T138"/>
    <mergeCell ref="U138:W138"/>
    <mergeCell ref="X138:Y138"/>
    <mergeCell ref="Z138:AC138"/>
    <mergeCell ref="B139:C139"/>
    <mergeCell ref="D139:G139"/>
    <mergeCell ref="H139:T139"/>
    <mergeCell ref="U139:W139"/>
    <mergeCell ref="X139:Y139"/>
    <mergeCell ref="Z139:AC139"/>
    <mergeCell ref="B140:C140"/>
    <mergeCell ref="D140:G140"/>
    <mergeCell ref="H140:T140"/>
    <mergeCell ref="U140:W140"/>
    <mergeCell ref="X140:Y140"/>
    <mergeCell ref="Z140:AC140"/>
    <mergeCell ref="B141:C141"/>
    <mergeCell ref="D141:G141"/>
    <mergeCell ref="H141:T141"/>
    <mergeCell ref="U141:W141"/>
    <mergeCell ref="X141:Y141"/>
    <mergeCell ref="Z141:AC141"/>
    <mergeCell ref="B142:C142"/>
    <mergeCell ref="D142:G142"/>
    <mergeCell ref="H142:T142"/>
    <mergeCell ref="U142:W142"/>
    <mergeCell ref="X142:Y142"/>
    <mergeCell ref="Z142:AC142"/>
    <mergeCell ref="B143:C143"/>
    <mergeCell ref="D143:G143"/>
    <mergeCell ref="H143:T143"/>
    <mergeCell ref="U143:W143"/>
    <mergeCell ref="X143:Y143"/>
    <mergeCell ref="Z143:AC143"/>
    <mergeCell ref="B144:C144"/>
    <mergeCell ref="D144:G144"/>
    <mergeCell ref="H144:T144"/>
    <mergeCell ref="U144:W144"/>
    <mergeCell ref="X144:Y144"/>
    <mergeCell ref="Z144:AC144"/>
    <mergeCell ref="B145:C145"/>
    <mergeCell ref="D145:G145"/>
    <mergeCell ref="H145:T145"/>
    <mergeCell ref="U145:W145"/>
    <mergeCell ref="X145:Y145"/>
    <mergeCell ref="Z145:AC145"/>
    <mergeCell ref="B146:C146"/>
    <mergeCell ref="D146:G146"/>
    <mergeCell ref="H146:T146"/>
    <mergeCell ref="U146:W146"/>
    <mergeCell ref="X146:Y146"/>
    <mergeCell ref="Z146:AC146"/>
    <mergeCell ref="B147:C147"/>
    <mergeCell ref="D147:G147"/>
    <mergeCell ref="H147:T147"/>
    <mergeCell ref="U147:W147"/>
    <mergeCell ref="X147:Y147"/>
    <mergeCell ref="Z147:AC147"/>
    <mergeCell ref="B148:C148"/>
    <mergeCell ref="D148:G148"/>
    <mergeCell ref="H148:T148"/>
    <mergeCell ref="U148:W148"/>
    <mergeCell ref="X148:Y148"/>
    <mergeCell ref="Z148:AC148"/>
    <mergeCell ref="B149:C149"/>
    <mergeCell ref="D149:G149"/>
    <mergeCell ref="H149:T149"/>
    <mergeCell ref="U149:W149"/>
    <mergeCell ref="X149:Y149"/>
    <mergeCell ref="Z149:AC149"/>
    <mergeCell ref="B150:C150"/>
    <mergeCell ref="D150:G150"/>
    <mergeCell ref="H150:T150"/>
    <mergeCell ref="U150:W150"/>
    <mergeCell ref="X150:Y150"/>
    <mergeCell ref="Z150:AC150"/>
    <mergeCell ref="B151:C151"/>
    <mergeCell ref="D151:G151"/>
    <mergeCell ref="H151:T151"/>
    <mergeCell ref="U151:W151"/>
    <mergeCell ref="X151:Y151"/>
    <mergeCell ref="Z151:AC151"/>
    <mergeCell ref="B152:C152"/>
    <mergeCell ref="D152:G152"/>
    <mergeCell ref="H152:T152"/>
    <mergeCell ref="U152:W152"/>
    <mergeCell ref="X152:Y152"/>
    <mergeCell ref="Z152:AC152"/>
    <mergeCell ref="B153:C153"/>
    <mergeCell ref="D153:G153"/>
    <mergeCell ref="H153:T153"/>
    <mergeCell ref="U153:W153"/>
    <mergeCell ref="X153:Y153"/>
    <mergeCell ref="Z153:AC153"/>
    <mergeCell ref="B154:C154"/>
    <mergeCell ref="D154:G154"/>
    <mergeCell ref="H154:T154"/>
    <mergeCell ref="U154:W154"/>
    <mergeCell ref="X154:Y154"/>
    <mergeCell ref="Z154:AC154"/>
    <mergeCell ref="B155:C155"/>
    <mergeCell ref="D155:G155"/>
    <mergeCell ref="H155:T155"/>
    <mergeCell ref="U155:W155"/>
    <mergeCell ref="X155:Y155"/>
    <mergeCell ref="Z155:AC155"/>
    <mergeCell ref="B156:C156"/>
    <mergeCell ref="D156:G156"/>
    <mergeCell ref="H156:T156"/>
    <mergeCell ref="U156:W156"/>
    <mergeCell ref="X156:Y156"/>
    <mergeCell ref="Z156:AC156"/>
    <mergeCell ref="B157:C157"/>
    <mergeCell ref="D157:G157"/>
    <mergeCell ref="H157:T157"/>
    <mergeCell ref="U157:W157"/>
    <mergeCell ref="X157:Y157"/>
    <mergeCell ref="Z157:AC157"/>
    <mergeCell ref="B158:C158"/>
    <mergeCell ref="D158:G158"/>
    <mergeCell ref="H158:T158"/>
    <mergeCell ref="U158:W158"/>
    <mergeCell ref="X158:Y158"/>
    <mergeCell ref="Z158:AC158"/>
    <mergeCell ref="B159:C159"/>
    <mergeCell ref="D159:G159"/>
    <mergeCell ref="H159:T159"/>
    <mergeCell ref="U159:W159"/>
    <mergeCell ref="X159:Y159"/>
    <mergeCell ref="Z159:AC159"/>
    <mergeCell ref="B160:C160"/>
    <mergeCell ref="D160:G160"/>
    <mergeCell ref="H160:T160"/>
    <mergeCell ref="U160:W160"/>
    <mergeCell ref="X160:Y160"/>
    <mergeCell ref="Z160:AC160"/>
    <mergeCell ref="B161:C161"/>
    <mergeCell ref="D161:G161"/>
    <mergeCell ref="H161:T161"/>
    <mergeCell ref="U161:W161"/>
    <mergeCell ref="X161:Y161"/>
    <mergeCell ref="Z161:AC161"/>
    <mergeCell ref="B162:C162"/>
    <mergeCell ref="D162:G162"/>
    <mergeCell ref="H162:T162"/>
    <mergeCell ref="U162:W162"/>
    <mergeCell ref="X162:Y162"/>
    <mergeCell ref="Z162:AC162"/>
    <mergeCell ref="B163:C163"/>
    <mergeCell ref="D163:G163"/>
    <mergeCell ref="H163:T163"/>
    <mergeCell ref="U163:W163"/>
    <mergeCell ref="X163:Y163"/>
    <mergeCell ref="Z163:AC163"/>
    <mergeCell ref="B164:C164"/>
    <mergeCell ref="D164:G164"/>
    <mergeCell ref="H164:T164"/>
    <mergeCell ref="U164:W164"/>
    <mergeCell ref="X164:Y164"/>
    <mergeCell ref="Z164:AC164"/>
    <mergeCell ref="B165:C165"/>
    <mergeCell ref="D165:G165"/>
    <mergeCell ref="H165:T165"/>
    <mergeCell ref="U165:W165"/>
    <mergeCell ref="X165:Y165"/>
    <mergeCell ref="Z165:AC165"/>
    <mergeCell ref="B166:C166"/>
    <mergeCell ref="D166:G166"/>
    <mergeCell ref="H166:T166"/>
    <mergeCell ref="U166:W166"/>
    <mergeCell ref="X166:Y166"/>
    <mergeCell ref="Z166:AC166"/>
    <mergeCell ref="B167:C167"/>
    <mergeCell ref="D167:G167"/>
    <mergeCell ref="H167:T167"/>
    <mergeCell ref="U167:W167"/>
    <mergeCell ref="X167:Y167"/>
    <mergeCell ref="Z167:AC167"/>
    <mergeCell ref="B168:C168"/>
    <mergeCell ref="D168:G168"/>
    <mergeCell ref="H168:T168"/>
    <mergeCell ref="U168:W168"/>
    <mergeCell ref="X168:Y168"/>
    <mergeCell ref="Z168:AC168"/>
    <mergeCell ref="B169:C169"/>
    <mergeCell ref="D169:G169"/>
    <mergeCell ref="H169:T169"/>
    <mergeCell ref="U169:W169"/>
    <mergeCell ref="X169:Y169"/>
    <mergeCell ref="Z169:AC169"/>
    <mergeCell ref="B170:C170"/>
    <mergeCell ref="D170:G170"/>
    <mergeCell ref="H170:T170"/>
    <mergeCell ref="U170:W170"/>
    <mergeCell ref="X170:Y170"/>
    <mergeCell ref="Z170:AC170"/>
    <mergeCell ref="B171:C171"/>
    <mergeCell ref="D171:G171"/>
    <mergeCell ref="H171:T171"/>
    <mergeCell ref="U171:W171"/>
    <mergeCell ref="X171:Y171"/>
    <mergeCell ref="Z171:AC171"/>
    <mergeCell ref="B172:C172"/>
    <mergeCell ref="D172:G172"/>
    <mergeCell ref="H172:T172"/>
    <mergeCell ref="U172:W172"/>
    <mergeCell ref="X172:Y172"/>
    <mergeCell ref="Z172:AC172"/>
    <mergeCell ref="B173:C173"/>
    <mergeCell ref="D173:G173"/>
    <mergeCell ref="H173:T173"/>
    <mergeCell ref="U173:W173"/>
    <mergeCell ref="X173:Y173"/>
    <mergeCell ref="Z173:AC173"/>
    <mergeCell ref="B174:C174"/>
    <mergeCell ref="D174:G174"/>
    <mergeCell ref="H174:T174"/>
    <mergeCell ref="U174:W174"/>
    <mergeCell ref="X174:Y174"/>
    <mergeCell ref="Z174:AC174"/>
    <mergeCell ref="Z5:AC6"/>
    <mergeCell ref="B5:C6"/>
    <mergeCell ref="X5:Y6"/>
    <mergeCell ref="D5:G6"/>
    <mergeCell ref="H5:T6"/>
    <mergeCell ref="U5:W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4"/>
  <sheetViews>
    <sheetView zoomScale="90" zoomScaleNormal="90" workbookViewId="0">
      <selection activeCell="K1" sqref="K1"/>
    </sheetView>
  </sheetViews>
  <sheetFormatPr defaultColWidth="9.33333333333333" defaultRowHeight="28.8" customHeight="1"/>
  <cols>
    <col min="1" max="3" width="3.42222222222222" style="156" customWidth="1"/>
    <col min="4" max="4" width="19.6666666666667" style="157" customWidth="1"/>
    <col min="5" max="5" width="51.8333333333333" style="157" customWidth="1"/>
    <col min="6" max="6" width="9.16666666666667" style="158" customWidth="1"/>
    <col min="7" max="7" width="14.3333333333333" style="156" customWidth="1"/>
    <col min="8" max="8" width="8" style="156" customWidth="1"/>
    <col min="9" max="9" width="15.3333333333333" style="156" customWidth="1"/>
    <col min="10" max="10" width="11.1666666666667" style="159" customWidth="1"/>
    <col min="11" max="11" width="26.1" style="156" customWidth="1"/>
    <col min="12" max="12" width="7.66666666666667" style="156" customWidth="1"/>
    <col min="13" max="13" width="40" style="156" customWidth="1"/>
    <col min="14" max="14" width="17" style="160" customWidth="1"/>
    <col min="15" max="15" width="17.6666666666667" style="161" customWidth="1"/>
    <col min="16" max="16" width="8.5" style="156" customWidth="1"/>
    <col min="17" max="17" width="11.6666666666667" style="160" customWidth="1"/>
    <col min="18" max="19" width="20.5" style="161" customWidth="1"/>
    <col min="20" max="20" width="38.1444444444444" style="156" customWidth="1"/>
    <col min="21" max="21" width="20.5" style="156" hidden="1" customWidth="1"/>
    <col min="22" max="22" width="20.8333333333333" style="156" hidden="1" customWidth="1"/>
    <col min="23" max="240" width="4.56666666666667" style="156" customWidth="1"/>
    <col min="241" max="16384" width="9.33333333333333" style="156"/>
  </cols>
  <sheetData>
    <row r="1" customHeight="1" spans="1:22">
      <c r="B1" s="162" t="s">
        <v>0</v>
      </c>
      <c r="C1" s="162"/>
      <c r="D1" s="163"/>
      <c r="E1" s="163"/>
      <c r="F1" s="164"/>
      <c r="G1" s="162"/>
      <c r="H1" s="162"/>
      <c r="I1" s="162"/>
    </row>
    <row r="2" customHeight="1" spans="1:22">
      <c r="B2" s="165" t="s">
        <v>1</v>
      </c>
      <c r="C2" s="166"/>
      <c r="D2" s="167" t="s">
        <v>2</v>
      </c>
      <c r="E2" s="167" t="s">
        <v>3</v>
      </c>
      <c r="F2" s="168" t="s">
        <v>4</v>
      </c>
      <c r="G2" s="166"/>
      <c r="H2" s="166" t="s">
        <v>5</v>
      </c>
      <c r="I2" s="166" t="s">
        <v>6</v>
      </c>
      <c r="J2" s="169" t="s">
        <v>260</v>
      </c>
      <c r="K2" s="170" t="s">
        <v>261</v>
      </c>
      <c r="L2" s="171" t="s">
        <v>262</v>
      </c>
      <c r="M2" s="170" t="s">
        <v>263</v>
      </c>
      <c r="N2" s="172" t="s">
        <v>264</v>
      </c>
      <c r="O2" s="173" t="s">
        <v>265</v>
      </c>
      <c r="P2" s="174" t="s">
        <v>266</v>
      </c>
      <c r="Q2" s="175" t="s">
        <v>267</v>
      </c>
      <c r="R2" s="176" t="s">
        <v>268</v>
      </c>
      <c r="S2" s="176" t="s">
        <v>269</v>
      </c>
      <c r="T2" s="174" t="s">
        <v>270</v>
      </c>
      <c r="U2" s="170" t="s">
        <v>271</v>
      </c>
      <c r="V2" s="177" t="s">
        <v>272</v>
      </c>
    </row>
    <row r="3" customHeight="1" spans="1:22">
      <c r="B3" s="178"/>
      <c r="C3" s="179"/>
      <c r="D3" s="180"/>
      <c r="E3" s="180"/>
      <c r="F3" s="181"/>
      <c r="G3" s="179"/>
      <c r="H3" s="179"/>
      <c r="I3" s="179"/>
      <c r="J3" s="182"/>
      <c r="K3" s="183"/>
      <c r="L3" s="183"/>
      <c r="M3" s="183"/>
      <c r="N3" s="184"/>
      <c r="O3" s="185"/>
      <c r="P3" s="122"/>
      <c r="Q3" s="122"/>
      <c r="R3" s="150"/>
      <c r="S3" s="185"/>
      <c r="T3" s="183"/>
      <c r="U3" s="183"/>
      <c r="V3" s="186"/>
    </row>
    <row r="4" customHeight="1" spans="1:22">
      <c r="A4" s="187"/>
      <c r="B4" s="188">
        <v>1</v>
      </c>
      <c r="C4" s="189"/>
      <c r="D4" s="190" t="s">
        <v>7</v>
      </c>
      <c r="E4" s="190" t="s">
        <v>8</v>
      </c>
      <c r="F4" s="191">
        <v>3</v>
      </c>
      <c r="G4" s="192"/>
      <c r="H4" s="193" t="s">
        <v>9</v>
      </c>
      <c r="I4" s="194"/>
      <c r="J4" s="195" t="s">
        <v>273</v>
      </c>
      <c r="K4" s="81" t="s">
        <v>274</v>
      </c>
      <c r="L4" s="81" t="s">
        <v>275</v>
      </c>
      <c r="M4" s="81" t="s">
        <v>276</v>
      </c>
      <c r="N4" s="196">
        <f>O4*F4</f>
        <v>24055.92</v>
      </c>
      <c r="O4" s="83">
        <v>8018.64</v>
      </c>
      <c r="P4" s="81">
        <v>25</v>
      </c>
      <c r="Q4" s="81">
        <v>0.75</v>
      </c>
      <c r="R4" s="83">
        <f>O4*Q4</f>
        <v>6013.98</v>
      </c>
      <c r="S4" s="83">
        <f>R4*F4</f>
        <v>18041.94</v>
      </c>
      <c r="T4" s="81"/>
      <c r="U4" s="81" t="s">
        <v>277</v>
      </c>
      <c r="V4" s="84"/>
    </row>
    <row r="5" customHeight="1" spans="1:22">
      <c r="A5" s="187"/>
      <c r="B5" s="188">
        <v>2</v>
      </c>
      <c r="C5" s="189"/>
      <c r="D5" s="190" t="s">
        <v>10</v>
      </c>
      <c r="E5" s="190" t="s">
        <v>11</v>
      </c>
      <c r="F5" s="191">
        <v>16</v>
      </c>
      <c r="G5" s="192"/>
      <c r="H5" s="193" t="s">
        <v>9</v>
      </c>
      <c r="I5" s="194"/>
      <c r="J5" s="197" t="s">
        <v>278</v>
      </c>
      <c r="K5" s="109" t="s">
        <v>10</v>
      </c>
      <c r="L5" s="109" t="s">
        <v>275</v>
      </c>
      <c r="M5" s="109" t="s">
        <v>279</v>
      </c>
      <c r="N5" s="198">
        <f t="shared" ref="N5:N36" si="0">O5*F5</f>
        <v>130192.16</v>
      </c>
      <c r="O5" s="199">
        <v>8137.01</v>
      </c>
      <c r="P5" s="109">
        <v>15</v>
      </c>
      <c r="Q5" s="109">
        <v>0.85</v>
      </c>
      <c r="R5" s="199">
        <v>6272</v>
      </c>
      <c r="S5" s="199">
        <f>R5*F5</f>
        <v>100352</v>
      </c>
      <c r="T5" s="81" t="s">
        <v>280</v>
      </c>
      <c r="U5" s="81" t="s">
        <v>277</v>
      </c>
      <c r="V5" s="84"/>
    </row>
    <row r="6" customHeight="1" spans="1:22">
      <c r="A6" s="187"/>
      <c r="B6" s="188">
        <v>3</v>
      </c>
      <c r="C6" s="189"/>
      <c r="D6" s="200" t="s">
        <v>12</v>
      </c>
      <c r="E6" s="190" t="s">
        <v>13</v>
      </c>
      <c r="F6" s="191">
        <v>5</v>
      </c>
      <c r="G6" s="192"/>
      <c r="H6" s="193" t="s">
        <v>9</v>
      </c>
      <c r="I6" s="194"/>
      <c r="J6" s="195" t="s">
        <v>281</v>
      </c>
      <c r="K6" s="81" t="s">
        <v>282</v>
      </c>
      <c r="L6" s="81" t="s">
        <v>275</v>
      </c>
      <c r="M6" s="81" t="s">
        <v>283</v>
      </c>
      <c r="N6" s="196">
        <f t="shared" si="0"/>
        <v>68308.8</v>
      </c>
      <c r="O6" s="83">
        <v>13661.76</v>
      </c>
      <c r="P6" s="81">
        <v>25</v>
      </c>
      <c r="Q6" s="81">
        <v>0.75</v>
      </c>
      <c r="R6" s="83">
        <f>O6*Q6</f>
        <v>10246.32</v>
      </c>
      <c r="S6" s="83">
        <f t="shared" ref="S4:S50" si="1">R6*F6</f>
        <v>51231.6</v>
      </c>
      <c r="T6" s="81"/>
      <c r="U6" s="81" t="s">
        <v>277</v>
      </c>
      <c r="V6" s="84"/>
    </row>
    <row r="7" customHeight="1" spans="1:22">
      <c r="A7" s="187"/>
      <c r="B7" s="188">
        <v>4</v>
      </c>
      <c r="C7" s="189"/>
      <c r="D7" s="190" t="s">
        <v>14</v>
      </c>
      <c r="E7" s="190" t="s">
        <v>15</v>
      </c>
      <c r="F7" s="191">
        <v>20</v>
      </c>
      <c r="G7" s="192"/>
      <c r="H7" s="193" t="s">
        <v>9</v>
      </c>
      <c r="I7" s="194"/>
      <c r="J7" s="197" t="s">
        <v>278</v>
      </c>
      <c r="K7" s="109" t="s">
        <v>284</v>
      </c>
      <c r="L7" s="109" t="s">
        <v>275</v>
      </c>
      <c r="M7" s="109" t="s">
        <v>285</v>
      </c>
      <c r="N7" s="198">
        <f t="shared" si="0"/>
        <v>271269</v>
      </c>
      <c r="O7" s="199">
        <v>13563.45</v>
      </c>
      <c r="P7" s="109">
        <v>16</v>
      </c>
      <c r="Q7" s="109">
        <v>0.84</v>
      </c>
      <c r="R7" s="199">
        <v>10455</v>
      </c>
      <c r="S7" s="199">
        <f t="shared" si="1"/>
        <v>209100</v>
      </c>
      <c r="T7" s="81" t="s">
        <v>286</v>
      </c>
      <c r="U7" s="81" t="s">
        <v>277</v>
      </c>
      <c r="V7" s="84"/>
    </row>
    <row r="8" customHeight="1" spans="1:22">
      <c r="A8" s="187"/>
      <c r="B8" s="188">
        <v>5</v>
      </c>
      <c r="C8" s="189"/>
      <c r="D8" s="190" t="s">
        <v>16</v>
      </c>
      <c r="E8" s="190" t="s">
        <v>17</v>
      </c>
      <c r="F8" s="191">
        <v>4</v>
      </c>
      <c r="G8" s="192"/>
      <c r="H8" s="193" t="s">
        <v>9</v>
      </c>
      <c r="I8" s="194"/>
      <c r="J8" s="197" t="s">
        <v>278</v>
      </c>
      <c r="K8" s="109" t="s">
        <v>284</v>
      </c>
      <c r="L8" s="109" t="s">
        <v>275</v>
      </c>
      <c r="M8" s="109" t="s">
        <v>287</v>
      </c>
      <c r="N8" s="198">
        <f t="shared" si="0"/>
        <v>54253.8</v>
      </c>
      <c r="O8" s="199">
        <v>13563.45</v>
      </c>
      <c r="P8" s="109">
        <v>14</v>
      </c>
      <c r="Q8" s="109">
        <v>0.86</v>
      </c>
      <c r="R8" s="199">
        <v>10455</v>
      </c>
      <c r="S8" s="199">
        <f t="shared" si="1"/>
        <v>41820</v>
      </c>
      <c r="T8" s="81" t="s">
        <v>286</v>
      </c>
      <c r="U8" s="81" t="s">
        <v>277</v>
      </c>
      <c r="V8" s="84"/>
    </row>
    <row r="9" customHeight="1" spans="1:22">
      <c r="A9" s="187"/>
      <c r="B9" s="188">
        <v>6</v>
      </c>
      <c r="C9" s="189"/>
      <c r="D9" s="190" t="s">
        <v>18</v>
      </c>
      <c r="E9" s="190" t="s">
        <v>19</v>
      </c>
      <c r="F9" s="192">
        <v>2</v>
      </c>
      <c r="G9" s="192"/>
      <c r="H9" s="193" t="s">
        <v>9</v>
      </c>
      <c r="I9" s="194"/>
      <c r="J9" s="195" t="s">
        <v>288</v>
      </c>
      <c r="K9" s="81">
        <v>5528792</v>
      </c>
      <c r="L9" s="81" t="s">
        <v>275</v>
      </c>
      <c r="M9" s="81" t="s">
        <v>289</v>
      </c>
      <c r="N9" s="196">
        <f t="shared" si="0"/>
        <v>10808.24</v>
      </c>
      <c r="O9" s="83">
        <v>5404.12</v>
      </c>
      <c r="P9" s="81">
        <v>24</v>
      </c>
      <c r="Q9" s="81">
        <v>0.76</v>
      </c>
      <c r="R9" s="83">
        <f>Q9*O9</f>
        <v>4107.1312</v>
      </c>
      <c r="S9" s="83">
        <f t="shared" si="1"/>
        <v>8214.2624</v>
      </c>
      <c r="T9" s="81"/>
      <c r="U9" s="81" t="s">
        <v>277</v>
      </c>
      <c r="V9" s="84"/>
    </row>
    <row r="10" customHeight="1" spans="1:22">
      <c r="A10" s="187"/>
      <c r="B10" s="188">
        <v>7</v>
      </c>
      <c r="C10" s="189"/>
      <c r="D10" s="190" t="s">
        <v>20</v>
      </c>
      <c r="E10" s="190" t="s">
        <v>21</v>
      </c>
      <c r="F10" s="192">
        <v>60</v>
      </c>
      <c r="G10" s="192"/>
      <c r="H10" s="193" t="s">
        <v>9</v>
      </c>
      <c r="I10" s="194"/>
      <c r="J10" s="195" t="s">
        <v>288</v>
      </c>
      <c r="K10" s="81">
        <v>6486771</v>
      </c>
      <c r="L10" s="81" t="s">
        <v>275</v>
      </c>
      <c r="M10" s="81" t="s">
        <v>290</v>
      </c>
      <c r="N10" s="196">
        <f t="shared" si="0"/>
        <v>251350.8</v>
      </c>
      <c r="O10" s="83">
        <v>4189.18</v>
      </c>
      <c r="P10" s="81">
        <v>25.5</v>
      </c>
      <c r="Q10" s="81">
        <v>0.745</v>
      </c>
      <c r="R10" s="83">
        <f>Q10*O10</f>
        <v>3120.9391</v>
      </c>
      <c r="S10" s="83">
        <f t="shared" si="1"/>
        <v>187256.346</v>
      </c>
      <c r="T10" s="81"/>
      <c r="U10" s="81" t="s">
        <v>277</v>
      </c>
      <c r="V10" s="84"/>
    </row>
    <row r="11" customHeight="1" spans="1:22">
      <c r="A11" s="187"/>
      <c r="B11" s="188">
        <v>8</v>
      </c>
      <c r="C11" s="189"/>
      <c r="D11" s="201">
        <v>3914407</v>
      </c>
      <c r="E11" s="190" t="s">
        <v>22</v>
      </c>
      <c r="F11" s="192">
        <v>80</v>
      </c>
      <c r="G11" s="192"/>
      <c r="H11" s="193" t="s">
        <v>9</v>
      </c>
      <c r="I11" s="194"/>
      <c r="J11" s="195" t="s">
        <v>288</v>
      </c>
      <c r="K11" s="81">
        <v>3914407</v>
      </c>
      <c r="L11" s="81" t="s">
        <v>291</v>
      </c>
      <c r="M11" s="81" t="s">
        <v>292</v>
      </c>
      <c r="N11" s="196">
        <f t="shared" si="0"/>
        <v>721.6</v>
      </c>
      <c r="O11" s="83">
        <v>9.02</v>
      </c>
      <c r="P11" s="81">
        <v>15</v>
      </c>
      <c r="Q11" s="184">
        <v>0.85</v>
      </c>
      <c r="R11" s="83">
        <f>O11*Q11</f>
        <v>7.667</v>
      </c>
      <c r="S11" s="83">
        <f t="shared" si="1"/>
        <v>613.36</v>
      </c>
      <c r="T11" s="81"/>
      <c r="U11" s="81" t="s">
        <v>277</v>
      </c>
      <c r="V11" s="84"/>
    </row>
    <row r="12" customHeight="1" spans="1:22">
      <c r="A12" s="187"/>
      <c r="B12" s="188">
        <v>9</v>
      </c>
      <c r="C12" s="189"/>
      <c r="D12" s="201">
        <v>3902023</v>
      </c>
      <c r="E12" s="190" t="s">
        <v>23</v>
      </c>
      <c r="F12" s="192">
        <v>100</v>
      </c>
      <c r="G12" s="192"/>
      <c r="H12" s="193" t="s">
        <v>9</v>
      </c>
      <c r="I12" s="194"/>
      <c r="J12" s="195" t="s">
        <v>288</v>
      </c>
      <c r="K12" s="81">
        <v>3902023</v>
      </c>
      <c r="L12" s="81" t="s">
        <v>275</v>
      </c>
      <c r="M12" s="81" t="s">
        <v>293</v>
      </c>
      <c r="N12" s="196">
        <f t="shared" si="0"/>
        <v>126</v>
      </c>
      <c r="O12" s="83">
        <v>1.26</v>
      </c>
      <c r="P12" s="202" t="s">
        <v>294</v>
      </c>
      <c r="Q12" s="81">
        <v>1</v>
      </c>
      <c r="R12" s="83">
        <f>O12*Q12</f>
        <v>1.26</v>
      </c>
      <c r="S12" s="83">
        <f t="shared" si="1"/>
        <v>126</v>
      </c>
      <c r="T12" s="81"/>
      <c r="U12" s="81" t="s">
        <v>277</v>
      </c>
      <c r="V12" s="84"/>
    </row>
    <row r="13" customHeight="1" spans="1:22">
      <c r="A13" s="187"/>
      <c r="B13" s="188">
        <v>10</v>
      </c>
      <c r="C13" s="189"/>
      <c r="D13" s="201">
        <v>3903834</v>
      </c>
      <c r="E13" s="190" t="s">
        <v>24</v>
      </c>
      <c r="F13" s="192">
        <v>100</v>
      </c>
      <c r="G13" s="192"/>
      <c r="H13" s="193" t="s">
        <v>9</v>
      </c>
      <c r="I13" s="194"/>
      <c r="J13" s="195" t="s">
        <v>288</v>
      </c>
      <c r="K13" s="81">
        <v>3903834</v>
      </c>
      <c r="L13" s="81" t="s">
        <v>275</v>
      </c>
      <c r="M13" s="81" t="s">
        <v>295</v>
      </c>
      <c r="N13" s="196">
        <f t="shared" si="0"/>
        <v>308</v>
      </c>
      <c r="O13" s="83">
        <v>3.08</v>
      </c>
      <c r="P13" s="202" t="s">
        <v>294</v>
      </c>
      <c r="Q13" s="81">
        <v>1</v>
      </c>
      <c r="R13" s="83">
        <f>O13*Q13</f>
        <v>3.08</v>
      </c>
      <c r="S13" s="83">
        <f t="shared" si="1"/>
        <v>308</v>
      </c>
      <c r="T13" s="81"/>
      <c r="U13" s="81" t="s">
        <v>277</v>
      </c>
      <c r="V13" s="84"/>
    </row>
    <row r="14" customHeight="1" spans="1:22">
      <c r="A14" s="187"/>
      <c r="B14" s="188">
        <v>11</v>
      </c>
      <c r="C14" s="189"/>
      <c r="D14" s="201">
        <v>3900632</v>
      </c>
      <c r="E14" s="190" t="s">
        <v>25</v>
      </c>
      <c r="F14" s="192">
        <v>300</v>
      </c>
      <c r="G14" s="192"/>
      <c r="H14" s="193" t="s">
        <v>9</v>
      </c>
      <c r="I14" s="194"/>
      <c r="J14" s="195" t="s">
        <v>288</v>
      </c>
      <c r="K14" s="81">
        <v>3900632</v>
      </c>
      <c r="L14" s="81" t="s">
        <v>275</v>
      </c>
      <c r="M14" s="203" t="s">
        <v>296</v>
      </c>
      <c r="N14" s="196">
        <f t="shared" si="0"/>
        <v>414</v>
      </c>
      <c r="O14" s="140">
        <v>1.38</v>
      </c>
      <c r="P14" s="202" t="s">
        <v>294</v>
      </c>
      <c r="Q14" s="81">
        <v>1</v>
      </c>
      <c r="R14" s="83">
        <f>O14*Q14</f>
        <v>1.38</v>
      </c>
      <c r="S14" s="83">
        <f t="shared" si="1"/>
        <v>414</v>
      </c>
      <c r="T14" s="81"/>
      <c r="U14" s="81" t="s">
        <v>277</v>
      </c>
      <c r="V14" s="84"/>
    </row>
    <row r="15" customHeight="1" spans="1:22">
      <c r="A15" s="187"/>
      <c r="B15" s="188">
        <v>12</v>
      </c>
      <c r="C15" s="189"/>
      <c r="D15" s="190" t="s">
        <v>26</v>
      </c>
      <c r="E15" s="190" t="s">
        <v>27</v>
      </c>
      <c r="F15" s="192">
        <v>60</v>
      </c>
      <c r="G15" s="192"/>
      <c r="H15" s="193" t="s">
        <v>9</v>
      </c>
      <c r="I15" s="194"/>
      <c r="J15" s="195" t="s">
        <v>288</v>
      </c>
      <c r="K15" s="81">
        <v>5264231</v>
      </c>
      <c r="L15" s="81" t="s">
        <v>275</v>
      </c>
      <c r="M15" s="203" t="s">
        <v>297</v>
      </c>
      <c r="N15" s="196">
        <f t="shared" si="0"/>
        <v>89685.6</v>
      </c>
      <c r="O15" s="140">
        <v>1494.76</v>
      </c>
      <c r="P15" s="81">
        <v>26</v>
      </c>
      <c r="Q15" s="81">
        <v>0.74</v>
      </c>
      <c r="R15" s="83">
        <f>Q15*O15</f>
        <v>1106.1224</v>
      </c>
      <c r="S15" s="83">
        <f t="shared" si="1"/>
        <v>66367.344</v>
      </c>
      <c r="T15" s="81"/>
      <c r="U15" s="81" t="s">
        <v>277</v>
      </c>
      <c r="V15" s="84"/>
    </row>
    <row r="16" customHeight="1" spans="1:22">
      <c r="A16" s="187"/>
      <c r="B16" s="188">
        <v>13</v>
      </c>
      <c r="C16" s="189"/>
      <c r="D16" s="201">
        <v>5404057</v>
      </c>
      <c r="E16" s="190" t="s">
        <v>28</v>
      </c>
      <c r="F16" s="192">
        <v>10</v>
      </c>
      <c r="G16" s="192"/>
      <c r="H16" s="193" t="s">
        <v>9</v>
      </c>
      <c r="I16" s="194"/>
      <c r="J16" s="195" t="s">
        <v>288</v>
      </c>
      <c r="K16" s="81">
        <v>5404057</v>
      </c>
      <c r="L16" s="81" t="s">
        <v>275</v>
      </c>
      <c r="M16" s="81" t="s">
        <v>298</v>
      </c>
      <c r="N16" s="196">
        <f t="shared" si="0"/>
        <v>349</v>
      </c>
      <c r="O16" s="83">
        <v>34.9</v>
      </c>
      <c r="P16" s="81">
        <v>15</v>
      </c>
      <c r="Q16" s="184">
        <v>0.85</v>
      </c>
      <c r="R16" s="83">
        <f>O16*Q16</f>
        <v>29.665</v>
      </c>
      <c r="S16" s="83">
        <f t="shared" si="1"/>
        <v>296.65</v>
      </c>
      <c r="T16" s="81"/>
      <c r="U16" s="81" t="s">
        <v>277</v>
      </c>
      <c r="V16" s="84"/>
    </row>
    <row r="17" customHeight="1" spans="1:22">
      <c r="A17" s="187"/>
      <c r="B17" s="188">
        <v>14</v>
      </c>
      <c r="C17" s="189"/>
      <c r="D17" s="204">
        <v>5267994</v>
      </c>
      <c r="E17" s="190" t="s">
        <v>29</v>
      </c>
      <c r="F17" s="192">
        <v>50</v>
      </c>
      <c r="G17" s="192"/>
      <c r="H17" s="193" t="s">
        <v>9</v>
      </c>
      <c r="I17" s="194"/>
      <c r="J17" s="195" t="s">
        <v>288</v>
      </c>
      <c r="K17" s="81">
        <v>5267994</v>
      </c>
      <c r="L17" s="81" t="s">
        <v>275</v>
      </c>
      <c r="M17" s="202" t="s">
        <v>299</v>
      </c>
      <c r="N17" s="196">
        <f t="shared" si="0"/>
        <v>12813</v>
      </c>
      <c r="O17" s="83">
        <v>256.26</v>
      </c>
      <c r="P17" s="81">
        <v>24</v>
      </c>
      <c r="Q17" s="81">
        <v>0.76</v>
      </c>
      <c r="R17" s="83">
        <f>Q17*O17</f>
        <v>194.7576</v>
      </c>
      <c r="S17" s="83">
        <f t="shared" si="1"/>
        <v>9737.88</v>
      </c>
      <c r="T17" s="81"/>
      <c r="U17" s="81" t="s">
        <v>277</v>
      </c>
      <c r="V17" s="84"/>
    </row>
    <row r="18" customHeight="1" spans="1:22">
      <c r="A18" s="187"/>
      <c r="B18" s="188">
        <v>15</v>
      </c>
      <c r="C18" s="189"/>
      <c r="D18" s="201">
        <v>4996250</v>
      </c>
      <c r="E18" s="190" t="s">
        <v>30</v>
      </c>
      <c r="F18" s="192">
        <v>400</v>
      </c>
      <c r="G18" s="192"/>
      <c r="H18" s="193" t="s">
        <v>9</v>
      </c>
      <c r="I18" s="194"/>
      <c r="J18" s="195" t="s">
        <v>288</v>
      </c>
      <c r="K18" s="81">
        <v>4996250</v>
      </c>
      <c r="L18" s="81" t="s">
        <v>275</v>
      </c>
      <c r="M18" s="203" t="s">
        <v>300</v>
      </c>
      <c r="N18" s="196">
        <f t="shared" si="0"/>
        <v>3008</v>
      </c>
      <c r="O18" s="140">
        <v>7.52</v>
      </c>
      <c r="P18" s="205">
        <v>17</v>
      </c>
      <c r="Q18" s="184">
        <v>0.83</v>
      </c>
      <c r="R18" s="83">
        <f>Q18*O18</f>
        <v>6.2416</v>
      </c>
      <c r="S18" s="83">
        <f t="shared" si="1"/>
        <v>2496.64</v>
      </c>
      <c r="T18" s="81"/>
      <c r="U18" s="81" t="s">
        <v>277</v>
      </c>
      <c r="V18" s="84"/>
    </row>
    <row r="19" customHeight="1" spans="1:22">
      <c r="A19" s="187"/>
      <c r="B19" s="188">
        <v>16</v>
      </c>
      <c r="C19" s="189"/>
      <c r="D19" s="201">
        <v>4946030</v>
      </c>
      <c r="E19" s="190" t="s">
        <v>31</v>
      </c>
      <c r="F19" s="192">
        <v>500</v>
      </c>
      <c r="G19" s="192"/>
      <c r="H19" s="193" t="s">
        <v>9</v>
      </c>
      <c r="I19" s="194"/>
      <c r="J19" s="195" t="s">
        <v>288</v>
      </c>
      <c r="K19" s="81">
        <v>4946030</v>
      </c>
      <c r="L19" s="81" t="s">
        <v>275</v>
      </c>
      <c r="M19" s="203" t="s">
        <v>300</v>
      </c>
      <c r="N19" s="196">
        <f t="shared" si="0"/>
        <v>3450</v>
      </c>
      <c r="O19" s="140">
        <v>6.9</v>
      </c>
      <c r="P19" s="205">
        <v>17</v>
      </c>
      <c r="Q19" s="184">
        <v>0.83</v>
      </c>
      <c r="R19" s="83">
        <f>Q19*O19</f>
        <v>5.727</v>
      </c>
      <c r="S19" s="83">
        <f t="shared" si="1"/>
        <v>2863.5</v>
      </c>
      <c r="T19" s="81"/>
      <c r="U19" s="81" t="s">
        <v>277</v>
      </c>
      <c r="V19" s="84"/>
    </row>
    <row r="20" customHeight="1" spans="1:22">
      <c r="A20" s="187"/>
      <c r="B20" s="188">
        <v>17</v>
      </c>
      <c r="C20" s="189"/>
      <c r="D20" s="201">
        <v>4946031</v>
      </c>
      <c r="E20" s="190" t="s">
        <v>32</v>
      </c>
      <c r="F20" s="192">
        <v>100</v>
      </c>
      <c r="G20" s="192"/>
      <c r="H20" s="193" t="s">
        <v>9</v>
      </c>
      <c r="I20" s="194"/>
      <c r="J20" s="195" t="s">
        <v>288</v>
      </c>
      <c r="K20" s="81">
        <v>4946031</v>
      </c>
      <c r="L20" s="81" t="s">
        <v>275</v>
      </c>
      <c r="M20" s="203" t="s">
        <v>301</v>
      </c>
      <c r="N20" s="196">
        <f t="shared" si="0"/>
        <v>2446</v>
      </c>
      <c r="O20" s="140">
        <v>24.46</v>
      </c>
      <c r="P20" s="205">
        <v>15</v>
      </c>
      <c r="Q20" s="184">
        <v>0.85</v>
      </c>
      <c r="R20" s="83">
        <f>O20*Q20</f>
        <v>20.791</v>
      </c>
      <c r="S20" s="83">
        <f t="shared" si="1"/>
        <v>2079.1</v>
      </c>
      <c r="T20" s="81"/>
      <c r="U20" s="81" t="s">
        <v>277</v>
      </c>
      <c r="V20" s="84"/>
    </row>
    <row r="21" customHeight="1" spans="1:22">
      <c r="A21" s="187"/>
      <c r="B21" s="188">
        <v>18</v>
      </c>
      <c r="C21" s="189"/>
      <c r="D21" s="190" t="s">
        <v>33</v>
      </c>
      <c r="E21" s="190" t="s">
        <v>34</v>
      </c>
      <c r="F21" s="192">
        <v>400</v>
      </c>
      <c r="G21" s="192"/>
      <c r="H21" s="193" t="s">
        <v>9</v>
      </c>
      <c r="I21" s="194"/>
      <c r="J21" s="195" t="s">
        <v>288</v>
      </c>
      <c r="K21" s="81">
        <v>5348887</v>
      </c>
      <c r="L21" s="81" t="s">
        <v>275</v>
      </c>
      <c r="M21" s="203" t="s">
        <v>302</v>
      </c>
      <c r="N21" s="196">
        <f t="shared" si="0"/>
        <v>9352</v>
      </c>
      <c r="O21" s="140">
        <v>23.38</v>
      </c>
      <c r="P21" s="205">
        <v>17</v>
      </c>
      <c r="Q21" s="184">
        <v>0.83</v>
      </c>
      <c r="R21" s="83">
        <f>Q21*O21</f>
        <v>19.4054</v>
      </c>
      <c r="S21" s="83">
        <f t="shared" si="1"/>
        <v>7762.16</v>
      </c>
      <c r="T21" s="81"/>
      <c r="U21" s="81" t="s">
        <v>277</v>
      </c>
      <c r="V21" s="84"/>
    </row>
    <row r="22" customHeight="1" spans="1:22">
      <c r="A22" s="187"/>
      <c r="B22" s="188">
        <v>19</v>
      </c>
      <c r="C22" s="189"/>
      <c r="D22" s="190" t="s">
        <v>35</v>
      </c>
      <c r="E22" s="190" t="s">
        <v>36</v>
      </c>
      <c r="F22" s="192">
        <v>400</v>
      </c>
      <c r="G22" s="192"/>
      <c r="H22" s="193" t="s">
        <v>9</v>
      </c>
      <c r="I22" s="194"/>
      <c r="J22" s="195" t="s">
        <v>288</v>
      </c>
      <c r="K22" s="81">
        <v>5261125</v>
      </c>
      <c r="L22" s="81" t="s">
        <v>275</v>
      </c>
      <c r="M22" s="203" t="s">
        <v>302</v>
      </c>
      <c r="N22" s="196">
        <f t="shared" si="0"/>
        <v>3596</v>
      </c>
      <c r="O22" s="140">
        <v>8.99</v>
      </c>
      <c r="P22" s="205">
        <v>17</v>
      </c>
      <c r="Q22" s="184">
        <v>0.83</v>
      </c>
      <c r="R22" s="83">
        <f>Q22*O22</f>
        <v>7.4617</v>
      </c>
      <c r="S22" s="83">
        <f t="shared" si="1"/>
        <v>2984.68</v>
      </c>
      <c r="T22" s="81"/>
      <c r="U22" s="81" t="s">
        <v>277</v>
      </c>
      <c r="V22" s="84"/>
    </row>
    <row r="23" customHeight="1" spans="1:22">
      <c r="A23" s="187"/>
      <c r="B23" s="188">
        <v>20</v>
      </c>
      <c r="C23" s="189"/>
      <c r="D23" s="201">
        <v>4995863</v>
      </c>
      <c r="E23" s="190" t="s">
        <v>37</v>
      </c>
      <c r="F23" s="192">
        <v>20</v>
      </c>
      <c r="G23" s="192"/>
      <c r="H23" s="193" t="s">
        <v>9</v>
      </c>
      <c r="I23" s="194"/>
      <c r="J23" s="195" t="s">
        <v>288</v>
      </c>
      <c r="K23" s="81">
        <v>4995863</v>
      </c>
      <c r="L23" s="81" t="s">
        <v>275</v>
      </c>
      <c r="M23" s="203" t="s">
        <v>303</v>
      </c>
      <c r="N23" s="196">
        <f t="shared" si="0"/>
        <v>178.6</v>
      </c>
      <c r="O23" s="140">
        <v>8.93</v>
      </c>
      <c r="P23" s="81">
        <v>15</v>
      </c>
      <c r="Q23" s="184">
        <v>0.85</v>
      </c>
      <c r="R23" s="83">
        <f>O23*Q23</f>
        <v>7.5905</v>
      </c>
      <c r="S23" s="83">
        <f t="shared" si="1"/>
        <v>151.81</v>
      </c>
      <c r="T23" s="81"/>
      <c r="U23" s="81" t="s">
        <v>277</v>
      </c>
      <c r="V23" s="84"/>
    </row>
    <row r="24" customHeight="1" spans="1:22">
      <c r="A24" s="187"/>
      <c r="B24" s="188">
        <v>21</v>
      </c>
      <c r="C24" s="189"/>
      <c r="D24" s="201">
        <v>5272634</v>
      </c>
      <c r="E24" s="190" t="s">
        <v>38</v>
      </c>
      <c r="F24" s="192">
        <v>3</v>
      </c>
      <c r="G24" s="192"/>
      <c r="H24" s="193" t="s">
        <v>9</v>
      </c>
      <c r="I24" s="194"/>
      <c r="J24" s="195" t="s">
        <v>288</v>
      </c>
      <c r="K24" s="81">
        <v>5272634</v>
      </c>
      <c r="L24" s="81" t="s">
        <v>275</v>
      </c>
      <c r="M24" s="203" t="s">
        <v>304</v>
      </c>
      <c r="N24" s="196">
        <f t="shared" si="0"/>
        <v>2776.08</v>
      </c>
      <c r="O24" s="140">
        <v>925.36</v>
      </c>
      <c r="P24" s="81">
        <v>23</v>
      </c>
      <c r="Q24" s="81">
        <v>0.77</v>
      </c>
      <c r="R24" s="83">
        <f t="shared" ref="R24:R32" si="2">Q24*O24</f>
        <v>712.5272</v>
      </c>
      <c r="S24" s="83">
        <f t="shared" si="1"/>
        <v>2137.5816</v>
      </c>
      <c r="T24" s="81"/>
      <c r="U24" s="81" t="s">
        <v>277</v>
      </c>
      <c r="V24" s="84"/>
    </row>
    <row r="25" customHeight="1" spans="1:22">
      <c r="A25" s="187"/>
      <c r="B25" s="188">
        <v>22</v>
      </c>
      <c r="C25" s="189"/>
      <c r="D25" s="190" t="s">
        <v>39</v>
      </c>
      <c r="E25" s="190" t="s">
        <v>40</v>
      </c>
      <c r="F25" s="192">
        <v>10</v>
      </c>
      <c r="G25" s="192"/>
      <c r="H25" s="193" t="s">
        <v>9</v>
      </c>
      <c r="I25" s="194"/>
      <c r="J25" s="195" t="s">
        <v>288</v>
      </c>
      <c r="K25" s="81">
        <v>5318121</v>
      </c>
      <c r="L25" s="81" t="s">
        <v>275</v>
      </c>
      <c r="M25" s="203" t="s">
        <v>304</v>
      </c>
      <c r="N25" s="196">
        <f t="shared" si="0"/>
        <v>6214.8</v>
      </c>
      <c r="O25" s="140">
        <v>621.48</v>
      </c>
      <c r="P25" s="81">
        <v>23</v>
      </c>
      <c r="Q25" s="81">
        <v>0.77</v>
      </c>
      <c r="R25" s="83">
        <f t="shared" si="2"/>
        <v>478.5396</v>
      </c>
      <c r="S25" s="83">
        <f t="shared" si="1"/>
        <v>4785.396</v>
      </c>
      <c r="T25" s="81"/>
      <c r="U25" s="81" t="s">
        <v>277</v>
      </c>
      <c r="V25" s="84"/>
    </row>
    <row r="26" customHeight="1" spans="1:22">
      <c r="A26" s="187"/>
      <c r="B26" s="188">
        <v>23</v>
      </c>
      <c r="C26" s="189"/>
      <c r="D26" s="190" t="s">
        <v>41</v>
      </c>
      <c r="E26" s="190" t="s">
        <v>42</v>
      </c>
      <c r="F26" s="192">
        <v>10</v>
      </c>
      <c r="G26" s="192"/>
      <c r="H26" s="193" t="s">
        <v>9</v>
      </c>
      <c r="I26" s="194"/>
      <c r="J26" s="182" t="s">
        <v>305</v>
      </c>
      <c r="K26" s="81" t="s">
        <v>306</v>
      </c>
      <c r="L26" s="81" t="s">
        <v>275</v>
      </c>
      <c r="M26" s="81" t="s">
        <v>307</v>
      </c>
      <c r="N26" s="196">
        <f t="shared" si="0"/>
        <v>8584.3</v>
      </c>
      <c r="O26" s="83">
        <v>858.43</v>
      </c>
      <c r="P26" s="81">
        <v>15</v>
      </c>
      <c r="Q26" s="81">
        <v>0.85</v>
      </c>
      <c r="R26" s="83">
        <f t="shared" si="2"/>
        <v>729.6655</v>
      </c>
      <c r="S26" s="83">
        <f t="shared" si="1"/>
        <v>7296.655</v>
      </c>
      <c r="T26" s="81"/>
      <c r="U26" s="81" t="s">
        <v>277</v>
      </c>
      <c r="V26" s="84"/>
    </row>
    <row r="27" customHeight="1" spans="1:22">
      <c r="A27" s="187"/>
      <c r="B27" s="188">
        <v>24</v>
      </c>
      <c r="C27" s="189"/>
      <c r="D27" s="200" t="s">
        <v>43</v>
      </c>
      <c r="E27" s="190" t="s">
        <v>44</v>
      </c>
      <c r="F27" s="192">
        <v>1</v>
      </c>
      <c r="G27" s="192"/>
      <c r="H27" s="193" t="s">
        <v>9</v>
      </c>
      <c r="I27" s="194"/>
      <c r="J27" s="195" t="s">
        <v>288</v>
      </c>
      <c r="K27" s="81">
        <v>5258274</v>
      </c>
      <c r="L27" s="81" t="s">
        <v>275</v>
      </c>
      <c r="M27" s="203" t="s">
        <v>308</v>
      </c>
      <c r="N27" s="196">
        <f t="shared" si="0"/>
        <v>3670.94</v>
      </c>
      <c r="O27" s="140">
        <v>3670.94</v>
      </c>
      <c r="P27" s="81">
        <v>24</v>
      </c>
      <c r="Q27" s="81">
        <v>0.76</v>
      </c>
      <c r="R27" s="83">
        <f t="shared" si="2"/>
        <v>2789.9144</v>
      </c>
      <c r="S27" s="83">
        <f t="shared" si="1"/>
        <v>2789.9144</v>
      </c>
      <c r="T27" s="81"/>
      <c r="U27" s="81" t="s">
        <v>277</v>
      </c>
      <c r="V27" s="84"/>
    </row>
    <row r="28" customHeight="1" spans="1:22">
      <c r="A28" s="187"/>
      <c r="B28" s="188">
        <v>25</v>
      </c>
      <c r="C28" s="189"/>
      <c r="D28" s="190" t="s">
        <v>45</v>
      </c>
      <c r="E28" s="190" t="s">
        <v>46</v>
      </c>
      <c r="F28" s="192">
        <v>24</v>
      </c>
      <c r="G28" s="192"/>
      <c r="H28" s="193" t="s">
        <v>9</v>
      </c>
      <c r="I28" s="194"/>
      <c r="J28" s="195" t="s">
        <v>288</v>
      </c>
      <c r="K28" s="81">
        <v>5271176</v>
      </c>
      <c r="L28" s="81" t="s">
        <v>275</v>
      </c>
      <c r="M28" s="203" t="s">
        <v>309</v>
      </c>
      <c r="N28" s="196">
        <f t="shared" si="0"/>
        <v>86841.9864</v>
      </c>
      <c r="O28" s="140">
        <v>3618.4161</v>
      </c>
      <c r="P28" s="81">
        <v>25.5</v>
      </c>
      <c r="Q28" s="81">
        <v>0.745</v>
      </c>
      <c r="R28" s="83">
        <f t="shared" si="2"/>
        <v>2695.7199945</v>
      </c>
      <c r="S28" s="83">
        <f t="shared" si="1"/>
        <v>64697.279868</v>
      </c>
      <c r="T28" s="81"/>
      <c r="U28" s="81" t="s">
        <v>277</v>
      </c>
      <c r="V28" s="84"/>
    </row>
    <row r="29" customHeight="1" spans="1:22">
      <c r="A29" s="187"/>
      <c r="B29" s="188">
        <v>26</v>
      </c>
      <c r="C29" s="189"/>
      <c r="D29" s="190" t="s">
        <v>47</v>
      </c>
      <c r="E29" s="190" t="s">
        <v>48</v>
      </c>
      <c r="F29" s="192">
        <v>20</v>
      </c>
      <c r="G29" s="192"/>
      <c r="H29" s="193" t="s">
        <v>9</v>
      </c>
      <c r="I29" s="194"/>
      <c r="J29" s="195" t="s">
        <v>288</v>
      </c>
      <c r="K29" s="81">
        <v>2897333</v>
      </c>
      <c r="L29" s="81" t="s">
        <v>275</v>
      </c>
      <c r="M29" s="203" t="s">
        <v>310</v>
      </c>
      <c r="N29" s="196">
        <f t="shared" si="0"/>
        <v>1897.812</v>
      </c>
      <c r="O29" s="140">
        <v>94.8906</v>
      </c>
      <c r="P29" s="81">
        <v>23</v>
      </c>
      <c r="Q29" s="81">
        <v>0.77</v>
      </c>
      <c r="R29" s="83">
        <f t="shared" si="2"/>
        <v>73.065762</v>
      </c>
      <c r="S29" s="83">
        <f t="shared" si="1"/>
        <v>1461.31524</v>
      </c>
      <c r="T29" s="81"/>
      <c r="U29" s="81" t="s">
        <v>277</v>
      </c>
      <c r="V29" s="84"/>
    </row>
    <row r="30" customHeight="1" spans="1:22">
      <c r="A30" s="187"/>
      <c r="B30" s="188">
        <v>27</v>
      </c>
      <c r="C30" s="189"/>
      <c r="D30" s="201">
        <v>5491326</v>
      </c>
      <c r="E30" s="190" t="s">
        <v>49</v>
      </c>
      <c r="F30" s="192">
        <v>20</v>
      </c>
      <c r="G30" s="192"/>
      <c r="H30" s="193" t="s">
        <v>9</v>
      </c>
      <c r="I30" s="194"/>
      <c r="J30" s="195" t="s">
        <v>288</v>
      </c>
      <c r="K30" s="81">
        <v>5491326</v>
      </c>
      <c r="L30" s="81" t="s">
        <v>275</v>
      </c>
      <c r="M30" s="203" t="s">
        <v>311</v>
      </c>
      <c r="N30" s="196">
        <f t="shared" si="0"/>
        <v>1139.8</v>
      </c>
      <c r="O30" s="140">
        <v>56.99</v>
      </c>
      <c r="P30" s="81">
        <v>23</v>
      </c>
      <c r="Q30" s="81">
        <v>0.77</v>
      </c>
      <c r="R30" s="83">
        <f t="shared" si="2"/>
        <v>43.8823</v>
      </c>
      <c r="S30" s="83">
        <f t="shared" si="1"/>
        <v>877.646</v>
      </c>
      <c r="T30" s="81"/>
      <c r="U30" s="81" t="s">
        <v>277</v>
      </c>
      <c r="V30" s="84"/>
    </row>
    <row r="31" customHeight="1" spans="1:22">
      <c r="A31" s="187"/>
      <c r="B31" s="188">
        <v>28</v>
      </c>
      <c r="C31" s="189"/>
      <c r="D31" s="201">
        <v>5313379</v>
      </c>
      <c r="E31" s="190" t="s">
        <v>50</v>
      </c>
      <c r="F31" s="192">
        <v>2</v>
      </c>
      <c r="G31" s="192"/>
      <c r="H31" s="193" t="s">
        <v>9</v>
      </c>
      <c r="I31" s="194"/>
      <c r="J31" s="195" t="s">
        <v>288</v>
      </c>
      <c r="K31" s="81">
        <v>5313379</v>
      </c>
      <c r="L31" s="81" t="s">
        <v>275</v>
      </c>
      <c r="M31" s="203" t="s">
        <v>312</v>
      </c>
      <c r="N31" s="196">
        <f t="shared" si="0"/>
        <v>1536.3728</v>
      </c>
      <c r="O31" s="140">
        <v>768.1864</v>
      </c>
      <c r="P31" s="81">
        <v>23</v>
      </c>
      <c r="Q31" s="81">
        <v>0.77</v>
      </c>
      <c r="R31" s="83">
        <f t="shared" si="2"/>
        <v>591.503528</v>
      </c>
      <c r="S31" s="83">
        <f t="shared" si="1"/>
        <v>1183.007056</v>
      </c>
      <c r="T31" s="81"/>
      <c r="U31" s="81" t="s">
        <v>277</v>
      </c>
      <c r="V31" s="84"/>
    </row>
    <row r="32" customHeight="1" spans="1:22">
      <c r="A32" s="187"/>
      <c r="B32" s="188">
        <v>29</v>
      </c>
      <c r="C32" s="189"/>
      <c r="D32" s="190" t="s">
        <v>51</v>
      </c>
      <c r="E32" s="190" t="s">
        <v>52</v>
      </c>
      <c r="F32" s="192">
        <v>4</v>
      </c>
      <c r="G32" s="192"/>
      <c r="H32" s="193" t="s">
        <v>9</v>
      </c>
      <c r="I32" s="194"/>
      <c r="J32" s="195" t="s">
        <v>288</v>
      </c>
      <c r="K32" s="81">
        <v>5317247</v>
      </c>
      <c r="L32" s="81" t="s">
        <v>275</v>
      </c>
      <c r="M32" s="203" t="s">
        <v>312</v>
      </c>
      <c r="N32" s="196">
        <f t="shared" si="0"/>
        <v>2924.7416</v>
      </c>
      <c r="O32" s="140">
        <v>731.1854</v>
      </c>
      <c r="P32" s="81">
        <v>23</v>
      </c>
      <c r="Q32" s="81">
        <v>0.77</v>
      </c>
      <c r="R32" s="83">
        <f t="shared" si="2"/>
        <v>563.012758</v>
      </c>
      <c r="S32" s="83">
        <f t="shared" si="1"/>
        <v>2252.051032</v>
      </c>
      <c r="T32" s="81"/>
      <c r="U32" s="81" t="s">
        <v>277</v>
      </c>
      <c r="V32" s="84"/>
    </row>
    <row r="33" customHeight="1" spans="1:22">
      <c r="A33" s="187"/>
      <c r="B33" s="188">
        <v>30</v>
      </c>
      <c r="C33" s="189"/>
      <c r="D33" s="201">
        <v>3920706</v>
      </c>
      <c r="E33" s="190" t="s">
        <v>53</v>
      </c>
      <c r="F33" s="192">
        <v>700</v>
      </c>
      <c r="G33" s="192"/>
      <c r="H33" s="193" t="s">
        <v>9</v>
      </c>
      <c r="I33" s="194"/>
      <c r="J33" s="195" t="s">
        <v>288</v>
      </c>
      <c r="K33" s="81">
        <v>3920706</v>
      </c>
      <c r="L33" s="81" t="s">
        <v>275</v>
      </c>
      <c r="M33" s="203" t="s">
        <v>313</v>
      </c>
      <c r="N33" s="196">
        <f t="shared" si="0"/>
        <v>1400</v>
      </c>
      <c r="O33" s="140">
        <v>2</v>
      </c>
      <c r="P33" s="202" t="s">
        <v>294</v>
      </c>
      <c r="Q33" s="81">
        <v>1</v>
      </c>
      <c r="R33" s="83">
        <f>O33*Q33</f>
        <v>2</v>
      </c>
      <c r="S33" s="83">
        <f t="shared" si="1"/>
        <v>1400</v>
      </c>
      <c r="T33" s="81"/>
      <c r="U33" s="81" t="s">
        <v>277</v>
      </c>
      <c r="V33" s="84"/>
    </row>
    <row r="34" customHeight="1" spans="1:22">
      <c r="A34" s="187"/>
      <c r="B34" s="188">
        <v>31</v>
      </c>
      <c r="C34" s="189"/>
      <c r="D34" s="201">
        <v>5302031</v>
      </c>
      <c r="E34" s="190" t="s">
        <v>54</v>
      </c>
      <c r="F34" s="192">
        <v>7</v>
      </c>
      <c r="G34" s="192"/>
      <c r="H34" s="193" t="s">
        <v>9</v>
      </c>
      <c r="I34" s="194"/>
      <c r="J34" s="195" t="s">
        <v>288</v>
      </c>
      <c r="K34" s="81">
        <v>5302031</v>
      </c>
      <c r="L34" s="81" t="s">
        <v>275</v>
      </c>
      <c r="M34" s="203" t="s">
        <v>314</v>
      </c>
      <c r="N34" s="196">
        <f t="shared" si="0"/>
        <v>3980.13</v>
      </c>
      <c r="O34" s="140">
        <v>568.59</v>
      </c>
      <c r="P34" s="81">
        <v>23</v>
      </c>
      <c r="Q34" s="81">
        <v>0.77</v>
      </c>
      <c r="R34" s="83">
        <f t="shared" ref="R34:R41" si="3">Q34*O34</f>
        <v>437.8143</v>
      </c>
      <c r="S34" s="83">
        <f t="shared" si="1"/>
        <v>3064.7001</v>
      </c>
      <c r="T34" s="81"/>
      <c r="U34" s="81" t="s">
        <v>277</v>
      </c>
      <c r="V34" s="84"/>
    </row>
    <row r="35" customHeight="1" spans="1:22">
      <c r="A35" s="187"/>
      <c r="B35" s="188">
        <v>32</v>
      </c>
      <c r="C35" s="189"/>
      <c r="D35" s="201">
        <v>5302123</v>
      </c>
      <c r="E35" s="190" t="s">
        <v>55</v>
      </c>
      <c r="F35" s="192">
        <v>60</v>
      </c>
      <c r="G35" s="192"/>
      <c r="H35" s="193" t="s">
        <v>9</v>
      </c>
      <c r="I35" s="194"/>
      <c r="J35" s="195" t="s">
        <v>288</v>
      </c>
      <c r="K35" s="81">
        <v>5302123</v>
      </c>
      <c r="L35" s="81" t="s">
        <v>275</v>
      </c>
      <c r="M35" s="203" t="s">
        <v>314</v>
      </c>
      <c r="N35" s="196">
        <f t="shared" si="0"/>
        <v>17926.2</v>
      </c>
      <c r="O35" s="140">
        <v>298.77</v>
      </c>
      <c r="P35" s="81">
        <v>24</v>
      </c>
      <c r="Q35" s="81">
        <v>0.76</v>
      </c>
      <c r="R35" s="83">
        <f t="shared" si="3"/>
        <v>227.0652</v>
      </c>
      <c r="S35" s="83">
        <f t="shared" si="1"/>
        <v>13623.912</v>
      </c>
      <c r="T35" s="81"/>
      <c r="U35" s="81" t="s">
        <v>277</v>
      </c>
      <c r="V35" s="84"/>
    </row>
    <row r="36" customHeight="1" spans="1:22">
      <c r="A36" s="187"/>
      <c r="B36" s="188">
        <v>33</v>
      </c>
      <c r="C36" s="189"/>
      <c r="D36" s="201">
        <v>5369836</v>
      </c>
      <c r="E36" s="190" t="s">
        <v>56</v>
      </c>
      <c r="F36" s="192">
        <v>15</v>
      </c>
      <c r="G36" s="192"/>
      <c r="H36" s="193" t="s">
        <v>9</v>
      </c>
      <c r="I36" s="194"/>
      <c r="J36" s="195" t="s">
        <v>288</v>
      </c>
      <c r="K36" s="81">
        <v>5369836</v>
      </c>
      <c r="L36" s="81" t="s">
        <v>275</v>
      </c>
      <c r="M36" s="203" t="s">
        <v>314</v>
      </c>
      <c r="N36" s="196">
        <f t="shared" si="0"/>
        <v>6731.64</v>
      </c>
      <c r="O36" s="140">
        <v>448.776</v>
      </c>
      <c r="P36" s="81">
        <v>23</v>
      </c>
      <c r="Q36" s="81">
        <v>0.77</v>
      </c>
      <c r="R36" s="83">
        <f t="shared" si="3"/>
        <v>345.55752</v>
      </c>
      <c r="S36" s="83">
        <f t="shared" si="1"/>
        <v>5183.3628</v>
      </c>
      <c r="T36" s="81"/>
      <c r="U36" s="81" t="s">
        <v>277</v>
      </c>
      <c r="V36" s="84"/>
    </row>
    <row r="37" customHeight="1" spans="1:22">
      <c r="A37" s="187"/>
      <c r="B37" s="188">
        <v>34</v>
      </c>
      <c r="C37" s="189"/>
      <c r="D37" s="190" t="s">
        <v>57</v>
      </c>
      <c r="E37" s="190" t="s">
        <v>58</v>
      </c>
      <c r="F37" s="192">
        <v>128</v>
      </c>
      <c r="G37" s="192"/>
      <c r="H37" s="193" t="s">
        <v>9</v>
      </c>
      <c r="I37" s="194"/>
      <c r="J37" s="195" t="s">
        <v>288</v>
      </c>
      <c r="K37" s="81">
        <v>5261320</v>
      </c>
      <c r="L37" s="81" t="s">
        <v>275</v>
      </c>
      <c r="M37" s="203" t="s">
        <v>315</v>
      </c>
      <c r="N37" s="196">
        <f t="shared" ref="N37:N68" si="4">O37*F37</f>
        <v>1797.12</v>
      </c>
      <c r="O37" s="140">
        <v>14.04</v>
      </c>
      <c r="P37" s="81">
        <v>17</v>
      </c>
      <c r="Q37" s="184">
        <v>0.83</v>
      </c>
      <c r="R37" s="83">
        <f t="shared" si="3"/>
        <v>11.6532</v>
      </c>
      <c r="S37" s="83">
        <f t="shared" si="1"/>
        <v>1491.6096</v>
      </c>
      <c r="T37" s="81"/>
      <c r="U37" s="81" t="s">
        <v>277</v>
      </c>
      <c r="V37" s="84"/>
    </row>
    <row r="38" customHeight="1" spans="1:22">
      <c r="A38" s="187"/>
      <c r="B38" s="188">
        <v>35</v>
      </c>
      <c r="C38" s="189"/>
      <c r="D38" s="190" t="s">
        <v>59</v>
      </c>
      <c r="E38" s="190" t="s">
        <v>60</v>
      </c>
      <c r="F38" s="192">
        <v>30</v>
      </c>
      <c r="G38" s="192"/>
      <c r="H38" s="193" t="s">
        <v>9</v>
      </c>
      <c r="I38" s="194"/>
      <c r="J38" s="182" t="s">
        <v>305</v>
      </c>
      <c r="K38" s="81" t="s">
        <v>316</v>
      </c>
      <c r="L38" s="81" t="s">
        <v>275</v>
      </c>
      <c r="M38" s="81" t="s">
        <v>317</v>
      </c>
      <c r="N38" s="196">
        <f t="shared" si="4"/>
        <v>7181.1</v>
      </c>
      <c r="O38" s="83">
        <v>239.37</v>
      </c>
      <c r="P38" s="81">
        <v>17</v>
      </c>
      <c r="Q38" s="81">
        <v>0.83</v>
      </c>
      <c r="R38" s="83">
        <f t="shared" si="3"/>
        <v>198.6771</v>
      </c>
      <c r="S38" s="83">
        <f t="shared" si="1"/>
        <v>5960.313</v>
      </c>
      <c r="T38" s="81"/>
      <c r="U38" s="81" t="s">
        <v>277</v>
      </c>
      <c r="V38" s="84"/>
    </row>
    <row r="39" customHeight="1" spans="1:22">
      <c r="A39" s="187"/>
      <c r="B39" s="188">
        <v>36</v>
      </c>
      <c r="C39" s="189"/>
      <c r="D39" s="201">
        <v>4988653</v>
      </c>
      <c r="E39" s="190" t="s">
        <v>61</v>
      </c>
      <c r="F39" s="192">
        <v>14</v>
      </c>
      <c r="G39" s="192"/>
      <c r="H39" s="193" t="s">
        <v>9</v>
      </c>
      <c r="I39" s="194"/>
      <c r="J39" s="195" t="s">
        <v>288</v>
      </c>
      <c r="K39" s="81">
        <v>4988653</v>
      </c>
      <c r="L39" s="81" t="s">
        <v>275</v>
      </c>
      <c r="M39" s="203" t="s">
        <v>318</v>
      </c>
      <c r="N39" s="196">
        <f t="shared" si="4"/>
        <v>2594.48</v>
      </c>
      <c r="O39" s="140">
        <v>185.32</v>
      </c>
      <c r="P39" s="81">
        <v>23</v>
      </c>
      <c r="Q39" s="81">
        <v>0.77</v>
      </c>
      <c r="R39" s="83">
        <f t="shared" si="3"/>
        <v>142.6964</v>
      </c>
      <c r="S39" s="83">
        <f t="shared" si="1"/>
        <v>1997.7496</v>
      </c>
      <c r="T39" s="81"/>
      <c r="U39" s="81" t="s">
        <v>277</v>
      </c>
      <c r="V39" s="84"/>
    </row>
    <row r="40" customHeight="1" spans="1:22">
      <c r="A40" s="187"/>
      <c r="B40" s="188">
        <v>37</v>
      </c>
      <c r="C40" s="189"/>
      <c r="D40" s="201">
        <v>5286927</v>
      </c>
      <c r="E40" s="190" t="s">
        <v>62</v>
      </c>
      <c r="F40" s="192">
        <v>10</v>
      </c>
      <c r="G40" s="192"/>
      <c r="H40" s="193" t="s">
        <v>9</v>
      </c>
      <c r="I40" s="194"/>
      <c r="J40" s="195" t="s">
        <v>288</v>
      </c>
      <c r="K40" s="81">
        <v>5286927</v>
      </c>
      <c r="L40" s="81" t="s">
        <v>275</v>
      </c>
      <c r="M40" s="203" t="s">
        <v>318</v>
      </c>
      <c r="N40" s="196">
        <f t="shared" si="4"/>
        <v>2385.9</v>
      </c>
      <c r="O40" s="140">
        <v>238.59</v>
      </c>
      <c r="P40" s="81">
        <v>23</v>
      </c>
      <c r="Q40" s="81">
        <v>0.77</v>
      </c>
      <c r="R40" s="83">
        <f t="shared" si="3"/>
        <v>183.7143</v>
      </c>
      <c r="S40" s="83">
        <f t="shared" si="1"/>
        <v>1837.143</v>
      </c>
      <c r="T40" s="81"/>
      <c r="U40" s="81" t="s">
        <v>277</v>
      </c>
      <c r="V40" s="84"/>
    </row>
    <row r="41" customHeight="1" spans="1:22">
      <c r="A41" s="187"/>
      <c r="B41" s="188">
        <v>38</v>
      </c>
      <c r="C41" s="189"/>
      <c r="D41" s="190" t="s">
        <v>63</v>
      </c>
      <c r="E41" s="190" t="s">
        <v>64</v>
      </c>
      <c r="F41" s="192">
        <v>160</v>
      </c>
      <c r="G41" s="192"/>
      <c r="H41" s="193" t="s">
        <v>9</v>
      </c>
      <c r="I41" s="194"/>
      <c r="J41" s="182" t="s">
        <v>305</v>
      </c>
      <c r="K41" s="81" t="s">
        <v>319</v>
      </c>
      <c r="L41" s="81" t="s">
        <v>275</v>
      </c>
      <c r="M41" s="81" t="s">
        <v>320</v>
      </c>
      <c r="N41" s="196">
        <f t="shared" si="4"/>
        <v>572.8</v>
      </c>
      <c r="O41" s="83">
        <v>3.58</v>
      </c>
      <c r="P41" s="202" t="s">
        <v>294</v>
      </c>
      <c r="Q41" s="81">
        <v>1</v>
      </c>
      <c r="R41" s="83">
        <f t="shared" si="3"/>
        <v>3.58</v>
      </c>
      <c r="S41" s="83">
        <f t="shared" si="1"/>
        <v>572.8</v>
      </c>
      <c r="T41" s="81"/>
      <c r="U41" s="81" t="s">
        <v>277</v>
      </c>
      <c r="V41" s="84"/>
    </row>
    <row r="42" customHeight="1" spans="1:22">
      <c r="A42" s="187"/>
      <c r="B42" s="188">
        <v>39</v>
      </c>
      <c r="C42" s="189"/>
      <c r="D42" s="190" t="s">
        <v>65</v>
      </c>
      <c r="E42" s="190" t="s">
        <v>66</v>
      </c>
      <c r="F42" s="192">
        <v>544</v>
      </c>
      <c r="G42" s="192"/>
      <c r="H42" s="193" t="s">
        <v>9</v>
      </c>
      <c r="I42" s="194"/>
      <c r="J42" s="195" t="s">
        <v>288</v>
      </c>
      <c r="K42" s="81">
        <v>4976170</v>
      </c>
      <c r="L42" s="81" t="s">
        <v>275</v>
      </c>
      <c r="M42" s="203" t="s">
        <v>321</v>
      </c>
      <c r="N42" s="196">
        <f t="shared" si="4"/>
        <v>1751.68</v>
      </c>
      <c r="O42" s="140">
        <v>3.22</v>
      </c>
      <c r="P42" s="202" t="s">
        <v>294</v>
      </c>
      <c r="Q42" s="81">
        <v>1</v>
      </c>
      <c r="R42" s="83">
        <f t="shared" ref="R42:R48" si="5">O42*Q42</f>
        <v>3.22</v>
      </c>
      <c r="S42" s="83">
        <f t="shared" si="1"/>
        <v>1751.68</v>
      </c>
      <c r="T42" s="81"/>
      <c r="U42" s="81" t="s">
        <v>277</v>
      </c>
      <c r="V42" s="84"/>
    </row>
    <row r="43" customHeight="1" spans="1:22">
      <c r="A43" s="187"/>
      <c r="B43" s="188">
        <v>40</v>
      </c>
      <c r="C43" s="189"/>
      <c r="D43" s="190" t="s">
        <v>67</v>
      </c>
      <c r="E43" s="190" t="s">
        <v>68</v>
      </c>
      <c r="F43" s="192">
        <v>700</v>
      </c>
      <c r="G43" s="192"/>
      <c r="H43" s="193" t="s">
        <v>9</v>
      </c>
      <c r="I43" s="194"/>
      <c r="J43" s="195" t="s">
        <v>288</v>
      </c>
      <c r="K43" s="81">
        <v>5290486</v>
      </c>
      <c r="L43" s="81" t="s">
        <v>275</v>
      </c>
      <c r="M43" s="203" t="s">
        <v>322</v>
      </c>
      <c r="N43" s="196">
        <f t="shared" si="4"/>
        <v>3129</v>
      </c>
      <c r="O43" s="140">
        <v>4.47</v>
      </c>
      <c r="P43" s="202" t="s">
        <v>294</v>
      </c>
      <c r="Q43" s="81">
        <v>1</v>
      </c>
      <c r="R43" s="83">
        <f t="shared" si="5"/>
        <v>4.47</v>
      </c>
      <c r="S43" s="83">
        <f t="shared" si="1"/>
        <v>3129</v>
      </c>
      <c r="T43" s="81"/>
      <c r="U43" s="81" t="s">
        <v>277</v>
      </c>
      <c r="V43" s="84"/>
    </row>
    <row r="44" customHeight="1" spans="1:22">
      <c r="A44" s="187"/>
      <c r="B44" s="188">
        <v>41</v>
      </c>
      <c r="C44" s="189"/>
      <c r="D44" s="190" t="s">
        <v>69</v>
      </c>
      <c r="E44" s="190" t="s">
        <v>70</v>
      </c>
      <c r="F44" s="192">
        <v>100</v>
      </c>
      <c r="G44" s="192"/>
      <c r="H44" s="193" t="s">
        <v>9</v>
      </c>
      <c r="I44" s="194"/>
      <c r="J44" s="195" t="s">
        <v>288</v>
      </c>
      <c r="K44" s="81">
        <v>5291706</v>
      </c>
      <c r="L44" s="81" t="s">
        <v>275</v>
      </c>
      <c r="M44" s="203" t="s">
        <v>323</v>
      </c>
      <c r="N44" s="196">
        <f t="shared" si="4"/>
        <v>176</v>
      </c>
      <c r="O44" s="140">
        <v>1.76</v>
      </c>
      <c r="P44" s="202" t="s">
        <v>294</v>
      </c>
      <c r="Q44" s="81">
        <v>1</v>
      </c>
      <c r="R44" s="83">
        <f t="shared" si="5"/>
        <v>1.76</v>
      </c>
      <c r="S44" s="83">
        <f t="shared" si="1"/>
        <v>176</v>
      </c>
      <c r="T44" s="81"/>
      <c r="U44" s="81" t="s">
        <v>277</v>
      </c>
      <c r="V44" s="84"/>
    </row>
    <row r="45" customHeight="1" spans="1:22">
      <c r="A45" s="187"/>
      <c r="B45" s="188">
        <v>42</v>
      </c>
      <c r="C45" s="189"/>
      <c r="D45" s="190" t="s">
        <v>71</v>
      </c>
      <c r="E45" s="190" t="s">
        <v>72</v>
      </c>
      <c r="F45" s="192">
        <v>500</v>
      </c>
      <c r="G45" s="192"/>
      <c r="H45" s="193" t="s">
        <v>9</v>
      </c>
      <c r="I45" s="194"/>
      <c r="J45" s="195" t="s">
        <v>288</v>
      </c>
      <c r="K45" s="81">
        <v>5272201</v>
      </c>
      <c r="L45" s="81" t="s">
        <v>275</v>
      </c>
      <c r="M45" s="203" t="s">
        <v>324</v>
      </c>
      <c r="N45" s="196">
        <f t="shared" si="4"/>
        <v>475</v>
      </c>
      <c r="O45" s="140">
        <v>0.95</v>
      </c>
      <c r="P45" s="202" t="s">
        <v>294</v>
      </c>
      <c r="Q45" s="81">
        <v>1</v>
      </c>
      <c r="R45" s="83">
        <f t="shared" si="5"/>
        <v>0.95</v>
      </c>
      <c r="S45" s="83">
        <f t="shared" si="1"/>
        <v>475</v>
      </c>
      <c r="T45" s="81"/>
      <c r="U45" s="81" t="s">
        <v>277</v>
      </c>
      <c r="V45" s="84"/>
    </row>
    <row r="46" customHeight="1" spans="1:22">
      <c r="A46" s="187"/>
      <c r="B46" s="188">
        <v>43</v>
      </c>
      <c r="C46" s="189"/>
      <c r="D46" s="201">
        <v>3940386</v>
      </c>
      <c r="E46" s="190" t="s">
        <v>73</v>
      </c>
      <c r="F46" s="192">
        <v>50</v>
      </c>
      <c r="G46" s="192"/>
      <c r="H46" s="193" t="s">
        <v>9</v>
      </c>
      <c r="I46" s="194"/>
      <c r="J46" s="195" t="s">
        <v>288</v>
      </c>
      <c r="K46" s="81">
        <v>3940386</v>
      </c>
      <c r="L46" s="81" t="s">
        <v>275</v>
      </c>
      <c r="M46" s="203" t="s">
        <v>325</v>
      </c>
      <c r="N46" s="196">
        <f t="shared" si="4"/>
        <v>527.5</v>
      </c>
      <c r="O46" s="140">
        <v>10.55</v>
      </c>
      <c r="P46" s="81">
        <v>15</v>
      </c>
      <c r="Q46" s="184">
        <v>0.85</v>
      </c>
      <c r="R46" s="83">
        <f t="shared" si="5"/>
        <v>8.9675</v>
      </c>
      <c r="S46" s="83">
        <f t="shared" si="1"/>
        <v>448.375</v>
      </c>
      <c r="T46" s="81"/>
      <c r="U46" s="81" t="s">
        <v>277</v>
      </c>
      <c r="V46" s="84"/>
    </row>
    <row r="47" customHeight="1" spans="1:22">
      <c r="A47" s="187"/>
      <c r="B47" s="188">
        <v>44</v>
      </c>
      <c r="C47" s="189"/>
      <c r="D47" s="201">
        <v>4995185</v>
      </c>
      <c r="E47" s="190" t="s">
        <v>74</v>
      </c>
      <c r="F47" s="192">
        <v>200</v>
      </c>
      <c r="G47" s="192"/>
      <c r="H47" s="193" t="s">
        <v>9</v>
      </c>
      <c r="I47" s="194"/>
      <c r="J47" s="195" t="s">
        <v>288</v>
      </c>
      <c r="K47" s="81">
        <v>4995185</v>
      </c>
      <c r="L47" s="81" t="s">
        <v>275</v>
      </c>
      <c r="M47" s="203" t="s">
        <v>326</v>
      </c>
      <c r="N47" s="196">
        <f t="shared" si="4"/>
        <v>732</v>
      </c>
      <c r="O47" s="140">
        <v>3.66</v>
      </c>
      <c r="P47" s="202" t="s">
        <v>294</v>
      </c>
      <c r="Q47" s="81">
        <v>1</v>
      </c>
      <c r="R47" s="83">
        <f t="shared" si="5"/>
        <v>3.66</v>
      </c>
      <c r="S47" s="83">
        <f t="shared" si="1"/>
        <v>732</v>
      </c>
      <c r="T47" s="81"/>
      <c r="U47" s="81" t="s">
        <v>277</v>
      </c>
      <c r="V47" s="84"/>
    </row>
    <row r="48" customHeight="1" spans="1:22">
      <c r="A48" s="187"/>
      <c r="B48" s="188">
        <v>45</v>
      </c>
      <c r="C48" s="189"/>
      <c r="D48" s="201">
        <v>5265277</v>
      </c>
      <c r="E48" s="190" t="s">
        <v>75</v>
      </c>
      <c r="F48" s="192">
        <v>300</v>
      </c>
      <c r="G48" s="192"/>
      <c r="H48" s="193" t="s">
        <v>9</v>
      </c>
      <c r="I48" s="194"/>
      <c r="J48" s="195" t="s">
        <v>288</v>
      </c>
      <c r="K48" s="81">
        <v>5265277</v>
      </c>
      <c r="L48" s="81" t="s">
        <v>275</v>
      </c>
      <c r="M48" s="203" t="s">
        <v>325</v>
      </c>
      <c r="N48" s="196">
        <f t="shared" si="4"/>
        <v>1077</v>
      </c>
      <c r="O48" s="140">
        <v>3.59</v>
      </c>
      <c r="P48" s="202" t="s">
        <v>294</v>
      </c>
      <c r="Q48" s="81">
        <v>1</v>
      </c>
      <c r="R48" s="83">
        <f t="shared" si="5"/>
        <v>3.59</v>
      </c>
      <c r="S48" s="83">
        <f t="shared" si="1"/>
        <v>1077</v>
      </c>
      <c r="T48" s="81"/>
      <c r="U48" s="81" t="s">
        <v>277</v>
      </c>
      <c r="V48" s="84"/>
    </row>
    <row r="49" customHeight="1" spans="1:22">
      <c r="A49" s="187"/>
      <c r="B49" s="188">
        <v>46</v>
      </c>
      <c r="C49" s="189"/>
      <c r="D49" s="190" t="s">
        <v>76</v>
      </c>
      <c r="E49" s="190" t="s">
        <v>77</v>
      </c>
      <c r="F49" s="192">
        <v>3</v>
      </c>
      <c r="G49" s="192"/>
      <c r="H49" s="193" t="s">
        <v>78</v>
      </c>
      <c r="I49" s="194"/>
      <c r="J49" s="182" t="s">
        <v>305</v>
      </c>
      <c r="K49" s="81" t="s">
        <v>327</v>
      </c>
      <c r="L49" s="206" t="s">
        <v>291</v>
      </c>
      <c r="M49" s="93" t="s">
        <v>328</v>
      </c>
      <c r="N49" s="196">
        <f t="shared" si="4"/>
        <v>1030.74</v>
      </c>
      <c r="O49" s="83">
        <v>343.58</v>
      </c>
      <c r="P49" s="81">
        <v>15</v>
      </c>
      <c r="Q49" s="81">
        <v>0.85</v>
      </c>
      <c r="R49" s="83">
        <f>Q49*O49</f>
        <v>292.043</v>
      </c>
      <c r="S49" s="83">
        <f t="shared" si="1"/>
        <v>876.129</v>
      </c>
      <c r="T49" s="81"/>
      <c r="U49" s="81" t="s">
        <v>277</v>
      </c>
      <c r="V49" s="84" t="s">
        <v>329</v>
      </c>
    </row>
    <row r="50" customHeight="1" spans="1:22">
      <c r="A50" s="187"/>
      <c r="B50" s="188">
        <v>47</v>
      </c>
      <c r="C50" s="189"/>
      <c r="D50" s="190" t="s">
        <v>79</v>
      </c>
      <c r="E50" s="190" t="s">
        <v>80</v>
      </c>
      <c r="F50" s="192">
        <v>20</v>
      </c>
      <c r="G50" s="192"/>
      <c r="H50" s="193" t="s">
        <v>78</v>
      </c>
      <c r="I50" s="194"/>
      <c r="J50" s="195" t="s">
        <v>330</v>
      </c>
      <c r="K50" s="81" t="s">
        <v>331</v>
      </c>
      <c r="L50" s="206" t="s">
        <v>291</v>
      </c>
      <c r="M50" s="81" t="s">
        <v>332</v>
      </c>
      <c r="N50" s="83" t="s">
        <v>333</v>
      </c>
      <c r="O50" s="83" t="s">
        <v>333</v>
      </c>
      <c r="P50" s="83" t="s">
        <v>333</v>
      </c>
      <c r="Q50" s="83" t="s">
        <v>333</v>
      </c>
      <c r="R50" s="83">
        <v>140</v>
      </c>
      <c r="S50" s="83">
        <f t="shared" si="1"/>
        <v>2800</v>
      </c>
      <c r="T50" s="81" t="s">
        <v>334</v>
      </c>
      <c r="U50" s="81" t="s">
        <v>277</v>
      </c>
      <c r="V50" s="84" t="s">
        <v>329</v>
      </c>
    </row>
    <row r="51" customHeight="1" spans="1:22">
      <c r="A51" s="187"/>
      <c r="B51" s="188">
        <v>48</v>
      </c>
      <c r="C51" s="189"/>
      <c r="D51" s="200" t="s">
        <v>81</v>
      </c>
      <c r="E51" s="190" t="s">
        <v>82</v>
      </c>
      <c r="F51" s="192">
        <v>5</v>
      </c>
      <c r="G51" s="192"/>
      <c r="H51" s="193" t="s">
        <v>78</v>
      </c>
      <c r="I51" s="194"/>
      <c r="J51" s="182" t="s">
        <v>305</v>
      </c>
      <c r="K51" s="81" t="s">
        <v>335</v>
      </c>
      <c r="L51" s="206" t="s">
        <v>291</v>
      </c>
      <c r="M51" s="81" t="s">
        <v>328</v>
      </c>
      <c r="N51" s="196">
        <f t="shared" si="4"/>
        <v>1717.9</v>
      </c>
      <c r="O51" s="83">
        <v>343.58</v>
      </c>
      <c r="P51" s="81">
        <v>15</v>
      </c>
      <c r="Q51" s="81">
        <v>0.85</v>
      </c>
      <c r="R51" s="83">
        <f t="shared" ref="R51:R63" si="6">Q51*O51</f>
        <v>292.043</v>
      </c>
      <c r="S51" s="83">
        <f t="shared" ref="S51:S114" si="7">R51*F51</f>
        <v>1460.215</v>
      </c>
      <c r="T51" s="81"/>
      <c r="U51" s="81" t="s">
        <v>277</v>
      </c>
      <c r="V51" s="84" t="s">
        <v>329</v>
      </c>
    </row>
    <row r="52" customHeight="1" spans="1:22">
      <c r="A52" s="187"/>
      <c r="B52" s="188">
        <v>49</v>
      </c>
      <c r="C52" s="189"/>
      <c r="D52" s="190" t="s">
        <v>83</v>
      </c>
      <c r="E52" s="190" t="s">
        <v>84</v>
      </c>
      <c r="F52" s="192">
        <v>70</v>
      </c>
      <c r="G52" s="192"/>
      <c r="H52" s="193" t="s">
        <v>78</v>
      </c>
      <c r="I52" s="194"/>
      <c r="J52" s="195" t="s">
        <v>288</v>
      </c>
      <c r="K52" s="81" t="s">
        <v>336</v>
      </c>
      <c r="L52" s="206" t="s">
        <v>291</v>
      </c>
      <c r="M52" s="81" t="s">
        <v>337</v>
      </c>
      <c r="N52" s="196">
        <f t="shared" si="4"/>
        <v>29198.4</v>
      </c>
      <c r="O52" s="83">
        <v>417.12</v>
      </c>
      <c r="P52" s="81">
        <v>24</v>
      </c>
      <c r="Q52" s="81">
        <v>0.76</v>
      </c>
      <c r="R52" s="83">
        <f t="shared" si="6"/>
        <v>317.0112</v>
      </c>
      <c r="S52" s="83">
        <f t="shared" si="7"/>
        <v>22190.784</v>
      </c>
      <c r="T52" s="81"/>
      <c r="U52" s="81" t="s">
        <v>277</v>
      </c>
      <c r="V52" s="84" t="s">
        <v>329</v>
      </c>
    </row>
    <row r="53" customHeight="1" spans="1:22">
      <c r="A53" s="187"/>
      <c r="B53" s="188">
        <v>50</v>
      </c>
      <c r="C53" s="189"/>
      <c r="D53" s="190" t="s">
        <v>85</v>
      </c>
      <c r="E53" s="190" t="s">
        <v>86</v>
      </c>
      <c r="F53" s="192">
        <v>8</v>
      </c>
      <c r="G53" s="192"/>
      <c r="H53" s="193" t="s">
        <v>78</v>
      </c>
      <c r="I53" s="194"/>
      <c r="J53" s="195" t="s">
        <v>288</v>
      </c>
      <c r="K53" s="81" t="s">
        <v>338</v>
      </c>
      <c r="L53" s="206" t="s">
        <v>291</v>
      </c>
      <c r="M53" s="81" t="s">
        <v>339</v>
      </c>
      <c r="N53" s="196">
        <f t="shared" si="4"/>
        <v>4335.36</v>
      </c>
      <c r="O53" s="83">
        <v>541.92</v>
      </c>
      <c r="P53" s="81">
        <v>23</v>
      </c>
      <c r="Q53" s="81">
        <v>0.77</v>
      </c>
      <c r="R53" s="83">
        <f t="shared" si="6"/>
        <v>417.2784</v>
      </c>
      <c r="S53" s="83">
        <f t="shared" si="7"/>
        <v>3338.2272</v>
      </c>
      <c r="T53" s="81"/>
      <c r="U53" s="81" t="s">
        <v>277</v>
      </c>
      <c r="V53" s="84" t="s">
        <v>329</v>
      </c>
    </row>
    <row r="54" customHeight="1" spans="1:22">
      <c r="A54" s="187"/>
      <c r="B54" s="188">
        <v>51</v>
      </c>
      <c r="C54" s="189"/>
      <c r="D54" s="190" t="s">
        <v>87</v>
      </c>
      <c r="E54" s="207" t="s">
        <v>88</v>
      </c>
      <c r="F54" s="192">
        <v>10</v>
      </c>
      <c r="G54" s="192"/>
      <c r="H54" s="193" t="s">
        <v>9</v>
      </c>
      <c r="I54" s="194"/>
      <c r="J54" s="195" t="s">
        <v>288</v>
      </c>
      <c r="K54" s="208">
        <v>5268950</v>
      </c>
      <c r="L54" s="209" t="s">
        <v>275</v>
      </c>
      <c r="M54" s="210" t="s">
        <v>340</v>
      </c>
      <c r="N54" s="211">
        <f t="shared" si="4"/>
        <v>11858</v>
      </c>
      <c r="O54" s="212">
        <v>1185.8</v>
      </c>
      <c r="P54" s="81">
        <v>25.5</v>
      </c>
      <c r="Q54" s="81">
        <v>0.745</v>
      </c>
      <c r="R54" s="83">
        <f t="shared" si="6"/>
        <v>883.421</v>
      </c>
      <c r="S54" s="83">
        <f t="shared" si="7"/>
        <v>8834.21</v>
      </c>
      <c r="T54" s="93" t="s">
        <v>341</v>
      </c>
      <c r="U54" s="81" t="s">
        <v>277</v>
      </c>
      <c r="V54" s="84" t="s">
        <v>329</v>
      </c>
    </row>
    <row r="55" customHeight="1" spans="1:22">
      <c r="A55" s="187"/>
      <c r="B55" s="188">
        <v>52</v>
      </c>
      <c r="C55" s="189"/>
      <c r="D55" s="190" t="s">
        <v>89</v>
      </c>
      <c r="E55" s="190" t="s">
        <v>90</v>
      </c>
      <c r="F55" s="192">
        <v>36</v>
      </c>
      <c r="G55" s="192"/>
      <c r="H55" s="193" t="s">
        <v>9</v>
      </c>
      <c r="I55" s="194"/>
      <c r="J55" s="182" t="s">
        <v>305</v>
      </c>
      <c r="K55" s="81" t="s">
        <v>342</v>
      </c>
      <c r="L55" s="206" t="s">
        <v>275</v>
      </c>
      <c r="M55" s="81" t="s">
        <v>343</v>
      </c>
      <c r="N55" s="196">
        <f t="shared" si="4"/>
        <v>602.28</v>
      </c>
      <c r="O55" s="83">
        <v>16.73</v>
      </c>
      <c r="P55" s="81">
        <v>15</v>
      </c>
      <c r="Q55" s="81">
        <v>0.85</v>
      </c>
      <c r="R55" s="83">
        <f t="shared" si="6"/>
        <v>14.2205</v>
      </c>
      <c r="S55" s="83">
        <f t="shared" si="7"/>
        <v>511.938</v>
      </c>
      <c r="T55" s="81"/>
      <c r="U55" s="81" t="s">
        <v>277</v>
      </c>
      <c r="V55" s="84"/>
    </row>
    <row r="56" customHeight="1" spans="1:22">
      <c r="A56" s="187"/>
      <c r="B56" s="188">
        <v>53</v>
      </c>
      <c r="C56" s="189"/>
      <c r="D56" s="201">
        <v>5271540</v>
      </c>
      <c r="E56" s="190" t="s">
        <v>91</v>
      </c>
      <c r="F56" s="192">
        <v>28</v>
      </c>
      <c r="G56" s="192"/>
      <c r="H56" s="193" t="s">
        <v>9</v>
      </c>
      <c r="I56" s="194"/>
      <c r="J56" s="195" t="s">
        <v>288</v>
      </c>
      <c r="K56" s="81">
        <v>5271540</v>
      </c>
      <c r="L56" s="206" t="s">
        <v>275</v>
      </c>
      <c r="M56" s="203" t="s">
        <v>344</v>
      </c>
      <c r="N56" s="196">
        <f t="shared" si="4"/>
        <v>1738.4276</v>
      </c>
      <c r="O56" s="140">
        <v>62.0867</v>
      </c>
      <c r="P56" s="81">
        <v>23</v>
      </c>
      <c r="Q56" s="81">
        <v>0.77</v>
      </c>
      <c r="R56" s="83">
        <f t="shared" si="6"/>
        <v>47.806759</v>
      </c>
      <c r="S56" s="83">
        <f t="shared" si="7"/>
        <v>1338.589252</v>
      </c>
      <c r="T56" s="81"/>
      <c r="U56" s="81" t="s">
        <v>277</v>
      </c>
      <c r="V56" s="84"/>
    </row>
    <row r="57" customHeight="1" spans="1:22">
      <c r="A57" s="187"/>
      <c r="B57" s="188">
        <v>54</v>
      </c>
      <c r="C57" s="189"/>
      <c r="D57" s="201">
        <v>5271539</v>
      </c>
      <c r="E57" s="190" t="s">
        <v>92</v>
      </c>
      <c r="F57" s="192">
        <v>32</v>
      </c>
      <c r="G57" s="192"/>
      <c r="H57" s="193" t="s">
        <v>9</v>
      </c>
      <c r="I57" s="194"/>
      <c r="J57" s="195" t="s">
        <v>288</v>
      </c>
      <c r="K57" s="81">
        <v>5271539</v>
      </c>
      <c r="L57" s="206" t="s">
        <v>275</v>
      </c>
      <c r="M57" s="203" t="s">
        <v>344</v>
      </c>
      <c r="N57" s="196">
        <f t="shared" si="4"/>
        <v>2055.6256</v>
      </c>
      <c r="O57" s="140">
        <v>64.2383</v>
      </c>
      <c r="P57" s="81">
        <v>24</v>
      </c>
      <c r="Q57" s="81">
        <v>0.76</v>
      </c>
      <c r="R57" s="83">
        <f t="shared" si="6"/>
        <v>48.821108</v>
      </c>
      <c r="S57" s="83">
        <f t="shared" si="7"/>
        <v>1562.275456</v>
      </c>
      <c r="T57" s="81"/>
      <c r="U57" s="81" t="s">
        <v>277</v>
      </c>
      <c r="V57" s="84"/>
    </row>
    <row r="58" customHeight="1" spans="1:22">
      <c r="A58" s="187"/>
      <c r="B58" s="188">
        <v>55</v>
      </c>
      <c r="C58" s="189"/>
      <c r="D58" s="190" t="s">
        <v>93</v>
      </c>
      <c r="E58" s="190" t="s">
        <v>94</v>
      </c>
      <c r="F58" s="192">
        <v>10</v>
      </c>
      <c r="G58" s="192"/>
      <c r="H58" s="193" t="s">
        <v>9</v>
      </c>
      <c r="I58" s="194"/>
      <c r="J58" s="195" t="s">
        <v>288</v>
      </c>
      <c r="K58" s="81">
        <v>5293669</v>
      </c>
      <c r="L58" s="206" t="s">
        <v>275</v>
      </c>
      <c r="M58" s="81" t="s">
        <v>345</v>
      </c>
      <c r="N58" s="196">
        <f t="shared" si="4"/>
        <v>584.4</v>
      </c>
      <c r="O58" s="83">
        <v>58.44</v>
      </c>
      <c r="P58" s="81">
        <v>23</v>
      </c>
      <c r="Q58" s="81">
        <v>0.77</v>
      </c>
      <c r="R58" s="83">
        <f t="shared" si="6"/>
        <v>44.9988</v>
      </c>
      <c r="S58" s="83">
        <f t="shared" si="7"/>
        <v>449.988</v>
      </c>
      <c r="T58" s="81"/>
      <c r="U58" s="81" t="s">
        <v>277</v>
      </c>
      <c r="V58" s="84"/>
    </row>
    <row r="59" customHeight="1" spans="1:22">
      <c r="A59" s="187"/>
      <c r="B59" s="188">
        <v>56</v>
      </c>
      <c r="C59" s="189"/>
      <c r="D59" s="201">
        <v>5303573</v>
      </c>
      <c r="E59" s="190" t="s">
        <v>95</v>
      </c>
      <c r="F59" s="192">
        <v>25</v>
      </c>
      <c r="G59" s="192"/>
      <c r="H59" s="193" t="s">
        <v>9</v>
      </c>
      <c r="I59" s="194"/>
      <c r="J59" s="195" t="s">
        <v>288</v>
      </c>
      <c r="K59" s="81">
        <v>5303573</v>
      </c>
      <c r="L59" s="206" t="s">
        <v>275</v>
      </c>
      <c r="M59" s="81" t="s">
        <v>346</v>
      </c>
      <c r="N59" s="196">
        <f t="shared" si="4"/>
        <v>1528.25</v>
      </c>
      <c r="O59" s="83">
        <v>61.13</v>
      </c>
      <c r="P59" s="81">
        <v>23</v>
      </c>
      <c r="Q59" s="81">
        <v>0.77</v>
      </c>
      <c r="R59" s="83">
        <f t="shared" si="6"/>
        <v>47.0701</v>
      </c>
      <c r="S59" s="83">
        <f t="shared" si="7"/>
        <v>1176.7525</v>
      </c>
      <c r="T59" s="81"/>
      <c r="U59" s="81" t="s">
        <v>277</v>
      </c>
      <c r="V59" s="84"/>
    </row>
    <row r="60" customHeight="1" spans="1:22">
      <c r="A60" s="187"/>
      <c r="B60" s="188">
        <v>57</v>
      </c>
      <c r="C60" s="189"/>
      <c r="D60" s="190" t="s">
        <v>96</v>
      </c>
      <c r="E60" s="190" t="s">
        <v>97</v>
      </c>
      <c r="F60" s="192">
        <v>4</v>
      </c>
      <c r="G60" s="192"/>
      <c r="H60" s="193" t="s">
        <v>9</v>
      </c>
      <c r="I60" s="194"/>
      <c r="J60" s="195" t="s">
        <v>288</v>
      </c>
      <c r="K60" s="81">
        <v>5588790</v>
      </c>
      <c r="L60" s="206" t="s">
        <v>275</v>
      </c>
      <c r="M60" s="203" t="s">
        <v>347</v>
      </c>
      <c r="N60" s="196">
        <f t="shared" si="4"/>
        <v>1644.72</v>
      </c>
      <c r="O60" s="140">
        <v>411.18</v>
      </c>
      <c r="P60" s="81">
        <v>23</v>
      </c>
      <c r="Q60" s="81">
        <v>0.77</v>
      </c>
      <c r="R60" s="83">
        <f t="shared" si="6"/>
        <v>316.6086</v>
      </c>
      <c r="S60" s="83">
        <f t="shared" si="7"/>
        <v>1266.4344</v>
      </c>
      <c r="T60" s="81"/>
      <c r="U60" s="81" t="s">
        <v>277</v>
      </c>
      <c r="V60" s="84"/>
    </row>
    <row r="61" customHeight="1" spans="1:22">
      <c r="A61" s="187"/>
      <c r="B61" s="188">
        <v>58</v>
      </c>
      <c r="C61" s="189"/>
      <c r="D61" s="200" t="s">
        <v>98</v>
      </c>
      <c r="E61" s="190" t="s">
        <v>99</v>
      </c>
      <c r="F61" s="192">
        <v>20</v>
      </c>
      <c r="G61" s="192"/>
      <c r="H61" s="193" t="s">
        <v>9</v>
      </c>
      <c r="I61" s="194"/>
      <c r="J61" s="195" t="s">
        <v>288</v>
      </c>
      <c r="K61" s="81" t="s">
        <v>348</v>
      </c>
      <c r="L61" s="206" t="s">
        <v>275</v>
      </c>
      <c r="M61" s="81" t="s">
        <v>349</v>
      </c>
      <c r="N61" s="196">
        <f t="shared" si="4"/>
        <v>2870.8</v>
      </c>
      <c r="O61" s="83">
        <v>143.54</v>
      </c>
      <c r="P61" s="81">
        <v>23</v>
      </c>
      <c r="Q61" s="81">
        <v>0.77</v>
      </c>
      <c r="R61" s="83">
        <f t="shared" si="6"/>
        <v>110.5258</v>
      </c>
      <c r="S61" s="83">
        <f t="shared" si="7"/>
        <v>2210.516</v>
      </c>
      <c r="T61" s="81"/>
      <c r="U61" s="81" t="s">
        <v>277</v>
      </c>
      <c r="V61" s="84" t="s">
        <v>329</v>
      </c>
    </row>
    <row r="62" customHeight="1" spans="1:22">
      <c r="A62" s="187"/>
      <c r="B62" s="188">
        <v>59</v>
      </c>
      <c r="C62" s="189"/>
      <c r="D62" s="201">
        <v>5262617</v>
      </c>
      <c r="E62" s="190" t="s">
        <v>100</v>
      </c>
      <c r="F62" s="192">
        <v>60</v>
      </c>
      <c r="G62" s="192"/>
      <c r="H62" s="193" t="s">
        <v>9</v>
      </c>
      <c r="I62" s="194"/>
      <c r="J62" s="195" t="s">
        <v>288</v>
      </c>
      <c r="K62" s="81">
        <v>5262617</v>
      </c>
      <c r="L62" s="206" t="s">
        <v>275</v>
      </c>
      <c r="M62" s="203" t="s">
        <v>350</v>
      </c>
      <c r="N62" s="196">
        <f t="shared" si="4"/>
        <v>20042.4</v>
      </c>
      <c r="O62" s="140">
        <v>334.04</v>
      </c>
      <c r="P62" s="81">
        <v>24</v>
      </c>
      <c r="Q62" s="81">
        <v>0.76</v>
      </c>
      <c r="R62" s="83">
        <f t="shared" si="6"/>
        <v>253.8704</v>
      </c>
      <c r="S62" s="83">
        <f t="shared" si="7"/>
        <v>15232.224</v>
      </c>
      <c r="T62" s="81"/>
      <c r="U62" s="81" t="s">
        <v>277</v>
      </c>
      <c r="V62" s="84"/>
    </row>
    <row r="63" customHeight="1" spans="1:22">
      <c r="A63" s="187"/>
      <c r="B63" s="188">
        <v>60</v>
      </c>
      <c r="C63" s="189"/>
      <c r="D63" s="201">
        <v>5262620</v>
      </c>
      <c r="E63" s="190" t="s">
        <v>101</v>
      </c>
      <c r="F63" s="192">
        <v>13</v>
      </c>
      <c r="G63" s="192"/>
      <c r="H63" s="193" t="s">
        <v>9</v>
      </c>
      <c r="I63" s="194"/>
      <c r="J63" s="195" t="s">
        <v>288</v>
      </c>
      <c r="K63" s="81">
        <v>5262620</v>
      </c>
      <c r="L63" s="206" t="s">
        <v>275</v>
      </c>
      <c r="M63" s="203" t="s">
        <v>351</v>
      </c>
      <c r="N63" s="196">
        <f t="shared" si="4"/>
        <v>5519.28</v>
      </c>
      <c r="O63" s="140">
        <v>424.56</v>
      </c>
      <c r="P63" s="81">
        <v>23</v>
      </c>
      <c r="Q63" s="81">
        <v>0.77</v>
      </c>
      <c r="R63" s="83">
        <f t="shared" si="6"/>
        <v>326.9112</v>
      </c>
      <c r="S63" s="83">
        <f t="shared" si="7"/>
        <v>4249.8456</v>
      </c>
      <c r="T63" s="81"/>
      <c r="U63" s="81" t="s">
        <v>277</v>
      </c>
      <c r="V63" s="84"/>
    </row>
    <row r="64" customHeight="1" spans="1:22">
      <c r="A64" s="187"/>
      <c r="B64" s="188">
        <v>61</v>
      </c>
      <c r="C64" s="189"/>
      <c r="D64" s="201">
        <v>5263134</v>
      </c>
      <c r="E64" s="190" t="s">
        <v>102</v>
      </c>
      <c r="F64" s="192">
        <v>20</v>
      </c>
      <c r="G64" s="192"/>
      <c r="H64" s="193" t="s">
        <v>9</v>
      </c>
      <c r="I64" s="194"/>
      <c r="J64" s="195" t="s">
        <v>288</v>
      </c>
      <c r="K64" s="81">
        <v>5263134</v>
      </c>
      <c r="L64" s="206" t="s">
        <v>275</v>
      </c>
      <c r="M64" s="203" t="s">
        <v>352</v>
      </c>
      <c r="N64" s="196">
        <f t="shared" si="4"/>
        <v>382.8</v>
      </c>
      <c r="O64" s="140">
        <v>19.14</v>
      </c>
      <c r="P64" s="81">
        <v>15</v>
      </c>
      <c r="Q64" s="184">
        <v>0.85</v>
      </c>
      <c r="R64" s="83">
        <f>O64*Q64</f>
        <v>16.269</v>
      </c>
      <c r="S64" s="83">
        <f t="shared" si="7"/>
        <v>325.38</v>
      </c>
      <c r="T64" s="81"/>
      <c r="U64" s="81" t="s">
        <v>277</v>
      </c>
      <c r="V64" s="84"/>
    </row>
    <row r="65" customHeight="1" spans="1:22">
      <c r="A65" s="187"/>
      <c r="B65" s="188">
        <v>62</v>
      </c>
      <c r="C65" s="189"/>
      <c r="D65" s="201">
        <v>5264443</v>
      </c>
      <c r="E65" s="190" t="s">
        <v>103</v>
      </c>
      <c r="F65" s="192">
        <v>25</v>
      </c>
      <c r="G65" s="192"/>
      <c r="H65" s="193" t="s">
        <v>9</v>
      </c>
      <c r="I65" s="194"/>
      <c r="J65" s="195" t="s">
        <v>288</v>
      </c>
      <c r="K65" s="81">
        <v>5264443</v>
      </c>
      <c r="L65" s="206" t="s">
        <v>275</v>
      </c>
      <c r="M65" s="203" t="s">
        <v>353</v>
      </c>
      <c r="N65" s="196">
        <f t="shared" si="4"/>
        <v>1775.9475</v>
      </c>
      <c r="O65" s="140">
        <v>71.0379</v>
      </c>
      <c r="P65" s="81">
        <v>23</v>
      </c>
      <c r="Q65" s="81">
        <v>0.77</v>
      </c>
      <c r="R65" s="83">
        <f t="shared" ref="R65:R77" si="8">Q65*O65</f>
        <v>54.699183</v>
      </c>
      <c r="S65" s="83">
        <f t="shared" si="7"/>
        <v>1367.479575</v>
      </c>
      <c r="T65" s="81"/>
      <c r="U65" s="81" t="s">
        <v>277</v>
      </c>
      <c r="V65" s="84"/>
    </row>
    <row r="66" customHeight="1" spans="1:22">
      <c r="A66" s="187"/>
      <c r="B66" s="188">
        <v>63</v>
      </c>
      <c r="C66" s="189"/>
      <c r="D66" s="190" t="s">
        <v>104</v>
      </c>
      <c r="E66" s="190" t="s">
        <v>105</v>
      </c>
      <c r="F66" s="192">
        <v>10</v>
      </c>
      <c r="G66" s="192"/>
      <c r="H66" s="193" t="s">
        <v>9</v>
      </c>
      <c r="I66" s="194"/>
      <c r="J66" s="182" t="s">
        <v>305</v>
      </c>
      <c r="K66" s="81" t="s">
        <v>354</v>
      </c>
      <c r="L66" s="206" t="s">
        <v>275</v>
      </c>
      <c r="M66" s="81" t="s">
        <v>355</v>
      </c>
      <c r="N66" s="196">
        <f t="shared" si="4"/>
        <v>2222.2</v>
      </c>
      <c r="O66" s="83">
        <v>222.22</v>
      </c>
      <c r="P66" s="81">
        <v>15</v>
      </c>
      <c r="Q66" s="81">
        <v>0.85</v>
      </c>
      <c r="R66" s="83">
        <f t="shared" si="8"/>
        <v>188.887</v>
      </c>
      <c r="S66" s="83">
        <f t="shared" si="7"/>
        <v>1888.87</v>
      </c>
      <c r="T66" s="81"/>
      <c r="U66" s="81" t="s">
        <v>277</v>
      </c>
      <c r="V66" s="84"/>
    </row>
    <row r="67" customHeight="1" spans="1:22">
      <c r="A67" s="187"/>
      <c r="B67" s="188">
        <v>64</v>
      </c>
      <c r="C67" s="189"/>
      <c r="D67" s="190" t="s">
        <v>106</v>
      </c>
      <c r="E67" s="190" t="s">
        <v>107</v>
      </c>
      <c r="F67" s="192">
        <v>15</v>
      </c>
      <c r="G67" s="192"/>
      <c r="H67" s="193" t="s">
        <v>9</v>
      </c>
      <c r="I67" s="194"/>
      <c r="J67" s="182" t="s">
        <v>305</v>
      </c>
      <c r="K67" s="81" t="s">
        <v>356</v>
      </c>
      <c r="L67" s="206" t="s">
        <v>275</v>
      </c>
      <c r="M67" s="81" t="s">
        <v>357</v>
      </c>
      <c r="N67" s="196">
        <f t="shared" si="4"/>
        <v>4676.4</v>
      </c>
      <c r="O67" s="83">
        <v>311.76</v>
      </c>
      <c r="P67" s="81">
        <v>15</v>
      </c>
      <c r="Q67" s="81">
        <v>0.85</v>
      </c>
      <c r="R67" s="83">
        <f t="shared" si="8"/>
        <v>264.996</v>
      </c>
      <c r="S67" s="83">
        <f t="shared" si="7"/>
        <v>3974.94</v>
      </c>
      <c r="T67" s="81"/>
      <c r="U67" s="81" t="s">
        <v>277</v>
      </c>
      <c r="V67" s="84" t="s">
        <v>329</v>
      </c>
    </row>
    <row r="68" customHeight="1" spans="1:22">
      <c r="A68" s="187"/>
      <c r="B68" s="188">
        <v>65</v>
      </c>
      <c r="C68" s="189"/>
      <c r="D68" s="201">
        <v>5269358</v>
      </c>
      <c r="E68" s="190" t="s">
        <v>108</v>
      </c>
      <c r="F68" s="192">
        <v>10</v>
      </c>
      <c r="G68" s="192"/>
      <c r="H68" s="193" t="s">
        <v>9</v>
      </c>
      <c r="I68" s="194"/>
      <c r="J68" s="195" t="s">
        <v>288</v>
      </c>
      <c r="K68" s="81">
        <v>5269358</v>
      </c>
      <c r="L68" s="206" t="s">
        <v>275</v>
      </c>
      <c r="M68" s="203" t="s">
        <v>358</v>
      </c>
      <c r="N68" s="196">
        <f t="shared" si="4"/>
        <v>5379.5</v>
      </c>
      <c r="O68" s="140">
        <v>537.95</v>
      </c>
      <c r="P68" s="81">
        <v>23</v>
      </c>
      <c r="Q68" s="81">
        <v>0.77</v>
      </c>
      <c r="R68" s="83">
        <f t="shared" si="8"/>
        <v>414.2215</v>
      </c>
      <c r="S68" s="83">
        <f t="shared" si="7"/>
        <v>4142.215</v>
      </c>
      <c r="T68" s="81"/>
      <c r="U68" s="81" t="s">
        <v>277</v>
      </c>
      <c r="V68" s="84"/>
    </row>
    <row r="69" customHeight="1" spans="1:22">
      <c r="A69" s="187"/>
      <c r="B69" s="188">
        <v>66</v>
      </c>
      <c r="C69" s="189"/>
      <c r="D69" s="201">
        <v>5338237</v>
      </c>
      <c r="E69" s="190" t="s">
        <v>109</v>
      </c>
      <c r="F69" s="192">
        <v>10</v>
      </c>
      <c r="G69" s="192"/>
      <c r="H69" s="193" t="s">
        <v>9</v>
      </c>
      <c r="I69" s="194"/>
      <c r="J69" s="195" t="s">
        <v>288</v>
      </c>
      <c r="K69" s="81">
        <v>5338237</v>
      </c>
      <c r="L69" s="206" t="s">
        <v>275</v>
      </c>
      <c r="M69" s="203" t="s">
        <v>358</v>
      </c>
      <c r="N69" s="196">
        <f t="shared" ref="N69:N100" si="9">O69*F69</f>
        <v>6542</v>
      </c>
      <c r="O69" s="140">
        <v>654.2</v>
      </c>
      <c r="P69" s="81">
        <v>23</v>
      </c>
      <c r="Q69" s="81">
        <v>0.77</v>
      </c>
      <c r="R69" s="83">
        <f t="shared" si="8"/>
        <v>503.734</v>
      </c>
      <c r="S69" s="83">
        <f t="shared" si="7"/>
        <v>5037.34</v>
      </c>
      <c r="T69" s="81"/>
      <c r="U69" s="81" t="s">
        <v>277</v>
      </c>
      <c r="V69" s="84"/>
    </row>
    <row r="70" customHeight="1" spans="1:22">
      <c r="A70" s="187"/>
      <c r="B70" s="188">
        <v>67</v>
      </c>
      <c r="C70" s="189"/>
      <c r="D70" s="190" t="s">
        <v>110</v>
      </c>
      <c r="E70" s="190" t="s">
        <v>111</v>
      </c>
      <c r="F70" s="192">
        <v>8</v>
      </c>
      <c r="G70" s="192"/>
      <c r="H70" s="193" t="s">
        <v>9</v>
      </c>
      <c r="I70" s="194"/>
      <c r="J70" s="182" t="s">
        <v>305</v>
      </c>
      <c r="K70" s="81" t="s">
        <v>359</v>
      </c>
      <c r="L70" s="206" t="s">
        <v>275</v>
      </c>
      <c r="M70" s="81" t="s">
        <v>360</v>
      </c>
      <c r="N70" s="196">
        <f t="shared" si="9"/>
        <v>1006.24</v>
      </c>
      <c r="O70" s="83">
        <v>125.78</v>
      </c>
      <c r="P70" s="81">
        <v>15</v>
      </c>
      <c r="Q70" s="81">
        <v>0.85</v>
      </c>
      <c r="R70" s="83">
        <f t="shared" si="8"/>
        <v>106.913</v>
      </c>
      <c r="S70" s="83">
        <f t="shared" si="7"/>
        <v>855.304</v>
      </c>
      <c r="T70" s="81"/>
      <c r="U70" s="81" t="s">
        <v>277</v>
      </c>
      <c r="V70" s="84"/>
    </row>
    <row r="71" customHeight="1" spans="1:22">
      <c r="A71" s="187"/>
      <c r="B71" s="188">
        <v>68</v>
      </c>
      <c r="C71" s="189"/>
      <c r="D71" s="190" t="s">
        <v>112</v>
      </c>
      <c r="E71" s="190" t="s">
        <v>113</v>
      </c>
      <c r="F71" s="192">
        <v>10</v>
      </c>
      <c r="G71" s="192"/>
      <c r="H71" s="193" t="s">
        <v>9</v>
      </c>
      <c r="I71" s="194"/>
      <c r="J71" s="195" t="s">
        <v>288</v>
      </c>
      <c r="K71" s="81">
        <v>5287021</v>
      </c>
      <c r="L71" s="206" t="s">
        <v>275</v>
      </c>
      <c r="M71" s="203" t="s">
        <v>361</v>
      </c>
      <c r="N71" s="196">
        <f t="shared" si="9"/>
        <v>1868</v>
      </c>
      <c r="O71" s="140">
        <v>186.8</v>
      </c>
      <c r="P71" s="81">
        <v>23</v>
      </c>
      <c r="Q71" s="81">
        <v>0.77</v>
      </c>
      <c r="R71" s="83">
        <f t="shared" si="8"/>
        <v>143.836</v>
      </c>
      <c r="S71" s="83">
        <f t="shared" si="7"/>
        <v>1438.36</v>
      </c>
      <c r="T71" s="81"/>
      <c r="U71" s="81" t="s">
        <v>277</v>
      </c>
      <c r="V71" s="84"/>
    </row>
    <row r="72" customHeight="1" spans="1:22">
      <c r="A72" s="187"/>
      <c r="B72" s="188">
        <v>69</v>
      </c>
      <c r="C72" s="189"/>
      <c r="D72" s="201">
        <v>5262500</v>
      </c>
      <c r="E72" s="190" t="s">
        <v>114</v>
      </c>
      <c r="F72" s="192">
        <v>30</v>
      </c>
      <c r="G72" s="192"/>
      <c r="H72" s="193" t="s">
        <v>9</v>
      </c>
      <c r="I72" s="194"/>
      <c r="J72" s="195" t="s">
        <v>288</v>
      </c>
      <c r="K72" s="81">
        <v>5262500</v>
      </c>
      <c r="L72" s="206" t="s">
        <v>275</v>
      </c>
      <c r="M72" s="203" t="s">
        <v>361</v>
      </c>
      <c r="N72" s="196">
        <f t="shared" si="9"/>
        <v>4055.7</v>
      </c>
      <c r="O72" s="140">
        <v>135.19</v>
      </c>
      <c r="P72" s="81">
        <v>23</v>
      </c>
      <c r="Q72" s="81">
        <v>0.77</v>
      </c>
      <c r="R72" s="83">
        <f t="shared" si="8"/>
        <v>104.0963</v>
      </c>
      <c r="S72" s="83">
        <f t="shared" si="7"/>
        <v>3122.889</v>
      </c>
      <c r="T72" s="81"/>
      <c r="U72" s="81" t="s">
        <v>277</v>
      </c>
      <c r="V72" s="84"/>
    </row>
    <row r="73" customHeight="1" spans="1:22">
      <c r="A73" s="187"/>
      <c r="B73" s="188">
        <v>70</v>
      </c>
      <c r="C73" s="189"/>
      <c r="D73" s="190" t="s">
        <v>115</v>
      </c>
      <c r="E73" s="190" t="s">
        <v>116</v>
      </c>
      <c r="F73" s="192">
        <v>80</v>
      </c>
      <c r="G73" s="192"/>
      <c r="H73" s="193" t="s">
        <v>9</v>
      </c>
      <c r="I73" s="194"/>
      <c r="J73" s="195" t="s">
        <v>288</v>
      </c>
      <c r="K73" s="81">
        <v>5398362</v>
      </c>
      <c r="L73" s="206" t="s">
        <v>275</v>
      </c>
      <c r="M73" s="203" t="s">
        <v>361</v>
      </c>
      <c r="N73" s="196">
        <f t="shared" si="9"/>
        <v>12272.8</v>
      </c>
      <c r="O73" s="140">
        <v>153.41</v>
      </c>
      <c r="P73" s="81">
        <v>24</v>
      </c>
      <c r="Q73" s="81">
        <v>0.76</v>
      </c>
      <c r="R73" s="83">
        <f t="shared" si="8"/>
        <v>116.5916</v>
      </c>
      <c r="S73" s="83">
        <f t="shared" si="7"/>
        <v>9327.328</v>
      </c>
      <c r="T73" s="81"/>
      <c r="U73" s="81" t="s">
        <v>277</v>
      </c>
      <c r="V73" s="84"/>
    </row>
    <row r="74" customHeight="1" spans="1:22">
      <c r="A74" s="187"/>
      <c r="B74" s="188">
        <v>71</v>
      </c>
      <c r="C74" s="189"/>
      <c r="D74" s="201">
        <v>5271282</v>
      </c>
      <c r="E74" s="190" t="s">
        <v>117</v>
      </c>
      <c r="F74" s="192">
        <v>10</v>
      </c>
      <c r="G74" s="192"/>
      <c r="H74" s="193" t="s">
        <v>9</v>
      </c>
      <c r="I74" s="194"/>
      <c r="J74" s="195" t="s">
        <v>288</v>
      </c>
      <c r="K74" s="81">
        <v>5271282</v>
      </c>
      <c r="L74" s="206" t="s">
        <v>275</v>
      </c>
      <c r="M74" s="203" t="s">
        <v>361</v>
      </c>
      <c r="N74" s="196">
        <f t="shared" si="9"/>
        <v>1575.1</v>
      </c>
      <c r="O74" s="140">
        <v>157.51</v>
      </c>
      <c r="P74" s="81">
        <v>23</v>
      </c>
      <c r="Q74" s="81">
        <v>0.77</v>
      </c>
      <c r="R74" s="83">
        <f t="shared" si="8"/>
        <v>121.2827</v>
      </c>
      <c r="S74" s="83">
        <f t="shared" si="7"/>
        <v>1212.827</v>
      </c>
      <c r="T74" s="81"/>
      <c r="U74" s="81" t="s">
        <v>277</v>
      </c>
      <c r="V74" s="84"/>
    </row>
    <row r="75" customHeight="1" spans="1:22">
      <c r="A75" s="187"/>
      <c r="B75" s="188">
        <v>72</v>
      </c>
      <c r="C75" s="189"/>
      <c r="D75" s="200" t="s">
        <v>118</v>
      </c>
      <c r="E75" s="190" t="s">
        <v>119</v>
      </c>
      <c r="F75" s="192">
        <v>30</v>
      </c>
      <c r="G75" s="192"/>
      <c r="H75" s="193" t="s">
        <v>9</v>
      </c>
      <c r="I75" s="194"/>
      <c r="J75" s="195" t="s">
        <v>288</v>
      </c>
      <c r="K75" s="81">
        <v>5670414</v>
      </c>
      <c r="L75" s="206" t="s">
        <v>275</v>
      </c>
      <c r="M75" s="203" t="s">
        <v>362</v>
      </c>
      <c r="N75" s="196">
        <f t="shared" si="9"/>
        <v>39960.081</v>
      </c>
      <c r="O75" s="140">
        <v>1332.0027</v>
      </c>
      <c r="P75" s="81">
        <v>25.5</v>
      </c>
      <c r="Q75" s="81">
        <v>0.745</v>
      </c>
      <c r="R75" s="83">
        <f t="shared" si="8"/>
        <v>992.3420115</v>
      </c>
      <c r="S75" s="83">
        <f t="shared" si="7"/>
        <v>29770.260345</v>
      </c>
      <c r="T75" s="81"/>
      <c r="U75" s="81" t="s">
        <v>277</v>
      </c>
      <c r="V75" s="84"/>
    </row>
    <row r="76" customHeight="1" spans="1:22">
      <c r="A76" s="187"/>
      <c r="B76" s="188">
        <v>73</v>
      </c>
      <c r="C76" s="189"/>
      <c r="D76" s="204">
        <v>5681404</v>
      </c>
      <c r="E76" s="190" t="s">
        <v>120</v>
      </c>
      <c r="F76" s="192">
        <v>4</v>
      </c>
      <c r="G76" s="192"/>
      <c r="H76" s="193" t="s">
        <v>9</v>
      </c>
      <c r="I76" s="194"/>
      <c r="J76" s="195" t="s">
        <v>288</v>
      </c>
      <c r="K76" s="81">
        <v>5681404</v>
      </c>
      <c r="L76" s="206" t="s">
        <v>275</v>
      </c>
      <c r="M76" s="203" t="s">
        <v>363</v>
      </c>
      <c r="N76" s="196">
        <f t="shared" si="9"/>
        <v>5228.36</v>
      </c>
      <c r="O76" s="140">
        <v>1307.09</v>
      </c>
      <c r="P76" s="81">
        <v>24</v>
      </c>
      <c r="Q76" s="81">
        <v>0.76</v>
      </c>
      <c r="R76" s="83">
        <f t="shared" si="8"/>
        <v>993.3884</v>
      </c>
      <c r="S76" s="83">
        <f t="shared" si="7"/>
        <v>3973.5536</v>
      </c>
      <c r="T76" s="81"/>
      <c r="U76" s="81" t="s">
        <v>277</v>
      </c>
      <c r="V76" s="84"/>
    </row>
    <row r="77" customHeight="1" spans="1:22">
      <c r="A77" s="187"/>
      <c r="B77" s="188">
        <v>74</v>
      </c>
      <c r="C77" s="189"/>
      <c r="D77" s="190" t="s">
        <v>121</v>
      </c>
      <c r="E77" s="190" t="s">
        <v>122</v>
      </c>
      <c r="F77" s="192">
        <v>110</v>
      </c>
      <c r="G77" s="192"/>
      <c r="H77" s="193" t="s">
        <v>9</v>
      </c>
      <c r="I77" s="194"/>
      <c r="J77" s="195" t="s">
        <v>288</v>
      </c>
      <c r="K77" s="81">
        <v>5670418</v>
      </c>
      <c r="L77" s="206" t="s">
        <v>275</v>
      </c>
      <c r="M77" s="203" t="s">
        <v>364</v>
      </c>
      <c r="N77" s="196">
        <f t="shared" si="9"/>
        <v>146520.297</v>
      </c>
      <c r="O77" s="140">
        <v>1332.0027</v>
      </c>
      <c r="P77" s="81">
        <v>25.5</v>
      </c>
      <c r="Q77" s="81">
        <v>0.745</v>
      </c>
      <c r="R77" s="83">
        <f t="shared" si="8"/>
        <v>992.3420115</v>
      </c>
      <c r="S77" s="83">
        <f t="shared" si="7"/>
        <v>109157.621265</v>
      </c>
      <c r="T77" s="81"/>
      <c r="U77" s="81" t="s">
        <v>277</v>
      </c>
      <c r="V77" s="84"/>
    </row>
    <row r="78" customHeight="1" spans="1:22">
      <c r="A78" s="187"/>
      <c r="B78" s="188">
        <v>75</v>
      </c>
      <c r="C78" s="189"/>
      <c r="D78" s="201">
        <v>5284977</v>
      </c>
      <c r="E78" s="190" t="s">
        <v>123</v>
      </c>
      <c r="F78" s="192">
        <v>100</v>
      </c>
      <c r="G78" s="192"/>
      <c r="H78" s="193" t="s">
        <v>9</v>
      </c>
      <c r="I78" s="194"/>
      <c r="J78" s="195" t="s">
        <v>288</v>
      </c>
      <c r="K78" s="81">
        <v>5284977</v>
      </c>
      <c r="L78" s="206" t="s">
        <v>275</v>
      </c>
      <c r="M78" s="203" t="s">
        <v>365</v>
      </c>
      <c r="N78" s="196">
        <f t="shared" si="9"/>
        <v>341</v>
      </c>
      <c r="O78" s="140">
        <v>3.41</v>
      </c>
      <c r="P78" s="202" t="s">
        <v>294</v>
      </c>
      <c r="Q78" s="81">
        <v>1</v>
      </c>
      <c r="R78" s="83">
        <f>O78*Q78</f>
        <v>3.41</v>
      </c>
      <c r="S78" s="83">
        <f t="shared" si="7"/>
        <v>341</v>
      </c>
      <c r="T78" s="81"/>
      <c r="U78" s="81" t="s">
        <v>277</v>
      </c>
      <c r="V78" s="84"/>
    </row>
    <row r="79" customHeight="1" spans="1:22">
      <c r="A79" s="187"/>
      <c r="B79" s="188">
        <v>76</v>
      </c>
      <c r="C79" s="189"/>
      <c r="D79" s="204">
        <v>5282085</v>
      </c>
      <c r="E79" s="190" t="s">
        <v>124</v>
      </c>
      <c r="F79" s="192">
        <v>60</v>
      </c>
      <c r="G79" s="192"/>
      <c r="H79" s="193" t="s">
        <v>9</v>
      </c>
      <c r="I79" s="194"/>
      <c r="J79" s="195" t="s">
        <v>288</v>
      </c>
      <c r="K79" s="81">
        <v>5282085</v>
      </c>
      <c r="L79" s="206" t="s">
        <v>275</v>
      </c>
      <c r="M79" s="203" t="s">
        <v>366</v>
      </c>
      <c r="N79" s="196">
        <f t="shared" si="9"/>
        <v>20754</v>
      </c>
      <c r="O79" s="140">
        <v>345.9</v>
      </c>
      <c r="P79" s="81">
        <v>24</v>
      </c>
      <c r="Q79" s="81">
        <v>0.76</v>
      </c>
      <c r="R79" s="83">
        <f t="shared" ref="R79:R84" si="10">Q79*O79</f>
        <v>262.884</v>
      </c>
      <c r="S79" s="83">
        <f t="shared" si="7"/>
        <v>15773.04</v>
      </c>
      <c r="T79" s="81"/>
      <c r="U79" s="81" t="s">
        <v>277</v>
      </c>
      <c r="V79" s="84"/>
    </row>
    <row r="80" customHeight="1" spans="1:22">
      <c r="A80" s="187"/>
      <c r="B80" s="188">
        <v>77</v>
      </c>
      <c r="C80" s="189"/>
      <c r="D80" s="190" t="s">
        <v>125</v>
      </c>
      <c r="E80" s="190" t="s">
        <v>126</v>
      </c>
      <c r="F80" s="192">
        <v>5</v>
      </c>
      <c r="G80" s="192"/>
      <c r="H80" s="193" t="s">
        <v>9</v>
      </c>
      <c r="I80" s="194"/>
      <c r="J80" s="195" t="s">
        <v>288</v>
      </c>
      <c r="K80" s="81">
        <v>5333035</v>
      </c>
      <c r="L80" s="206" t="s">
        <v>275</v>
      </c>
      <c r="M80" s="203" t="s">
        <v>367</v>
      </c>
      <c r="N80" s="196">
        <f t="shared" si="9"/>
        <v>1917.855</v>
      </c>
      <c r="O80" s="140">
        <v>383.571</v>
      </c>
      <c r="P80" s="81">
        <v>23</v>
      </c>
      <c r="Q80" s="81">
        <v>0.77</v>
      </c>
      <c r="R80" s="83">
        <f t="shared" si="10"/>
        <v>295.34967</v>
      </c>
      <c r="S80" s="83">
        <f t="shared" si="7"/>
        <v>1476.74835</v>
      </c>
      <c r="T80" s="81"/>
      <c r="U80" s="81" t="s">
        <v>277</v>
      </c>
      <c r="V80" s="84"/>
    </row>
    <row r="81" customHeight="1" spans="1:22">
      <c r="A81" s="187"/>
      <c r="B81" s="188">
        <v>78</v>
      </c>
      <c r="C81" s="189"/>
      <c r="D81" s="200" t="s">
        <v>127</v>
      </c>
      <c r="E81" s="190" t="s">
        <v>128</v>
      </c>
      <c r="F81" s="192">
        <v>60</v>
      </c>
      <c r="G81" s="192"/>
      <c r="H81" s="193" t="s">
        <v>9</v>
      </c>
      <c r="I81" s="194"/>
      <c r="J81" s="195" t="s">
        <v>288</v>
      </c>
      <c r="K81" s="81">
        <v>5269784</v>
      </c>
      <c r="L81" s="206" t="s">
        <v>275</v>
      </c>
      <c r="M81" s="203" t="s">
        <v>367</v>
      </c>
      <c r="N81" s="196">
        <f t="shared" si="9"/>
        <v>21655.62</v>
      </c>
      <c r="O81" s="140">
        <v>360.927</v>
      </c>
      <c r="P81" s="81">
        <v>24</v>
      </c>
      <c r="Q81" s="81">
        <v>0.76</v>
      </c>
      <c r="R81" s="83">
        <f t="shared" si="10"/>
        <v>274.30452</v>
      </c>
      <c r="S81" s="83">
        <f t="shared" si="7"/>
        <v>16458.2712</v>
      </c>
      <c r="T81" s="81"/>
      <c r="U81" s="81" t="s">
        <v>277</v>
      </c>
      <c r="V81" s="84"/>
    </row>
    <row r="82" customHeight="1" spans="1:22">
      <c r="A82" s="187"/>
      <c r="B82" s="188">
        <v>79</v>
      </c>
      <c r="C82" s="189"/>
      <c r="D82" s="190" t="s">
        <v>129</v>
      </c>
      <c r="E82" s="190" t="s">
        <v>130</v>
      </c>
      <c r="F82" s="192">
        <v>10</v>
      </c>
      <c r="G82" s="192"/>
      <c r="H82" s="193" t="s">
        <v>9</v>
      </c>
      <c r="I82" s="194"/>
      <c r="J82" s="182" t="s">
        <v>305</v>
      </c>
      <c r="K82" s="81" t="s">
        <v>368</v>
      </c>
      <c r="L82" s="81" t="s">
        <v>291</v>
      </c>
      <c r="M82" s="81" t="s">
        <v>369</v>
      </c>
      <c r="N82" s="196">
        <f t="shared" si="9"/>
        <v>1860.6</v>
      </c>
      <c r="O82" s="83">
        <v>186.06</v>
      </c>
      <c r="P82" s="81">
        <v>15</v>
      </c>
      <c r="Q82" s="81">
        <v>0.85</v>
      </c>
      <c r="R82" s="83">
        <f t="shared" si="10"/>
        <v>158.151</v>
      </c>
      <c r="S82" s="83">
        <f t="shared" si="7"/>
        <v>1581.51</v>
      </c>
      <c r="T82" s="81"/>
      <c r="U82" s="81" t="s">
        <v>277</v>
      </c>
      <c r="V82" s="84"/>
    </row>
    <row r="83" customHeight="1" spans="1:22">
      <c r="A83" s="187"/>
      <c r="B83" s="188">
        <v>80</v>
      </c>
      <c r="C83" s="189"/>
      <c r="D83" s="190" t="s">
        <v>131</v>
      </c>
      <c r="E83" s="190" t="s">
        <v>132</v>
      </c>
      <c r="F83" s="192">
        <v>20</v>
      </c>
      <c r="G83" s="192"/>
      <c r="H83" s="193" t="s">
        <v>9</v>
      </c>
      <c r="I83" s="194"/>
      <c r="J83" s="182" t="s">
        <v>305</v>
      </c>
      <c r="K83" s="81" t="s">
        <v>370</v>
      </c>
      <c r="L83" s="81" t="s">
        <v>291</v>
      </c>
      <c r="M83" s="81" t="s">
        <v>371</v>
      </c>
      <c r="N83" s="196">
        <f t="shared" si="9"/>
        <v>8272.6</v>
      </c>
      <c r="O83" s="83">
        <v>413.63</v>
      </c>
      <c r="P83" s="81">
        <v>15</v>
      </c>
      <c r="Q83" s="81">
        <v>0.85</v>
      </c>
      <c r="R83" s="83">
        <f t="shared" si="10"/>
        <v>351.5855</v>
      </c>
      <c r="S83" s="83">
        <f t="shared" si="7"/>
        <v>7031.71</v>
      </c>
      <c r="T83" s="81"/>
      <c r="U83" s="81" t="s">
        <v>277</v>
      </c>
      <c r="V83" s="84"/>
    </row>
    <row r="84" customHeight="1" spans="1:22">
      <c r="A84" s="187"/>
      <c r="B84" s="188">
        <v>81</v>
      </c>
      <c r="C84" s="189"/>
      <c r="D84" s="201">
        <v>5286672</v>
      </c>
      <c r="E84" s="190" t="s">
        <v>133</v>
      </c>
      <c r="F84" s="192">
        <v>18</v>
      </c>
      <c r="G84" s="192"/>
      <c r="H84" s="193" t="s">
        <v>9</v>
      </c>
      <c r="I84" s="194"/>
      <c r="J84" s="195" t="s">
        <v>288</v>
      </c>
      <c r="K84" s="81">
        <v>5286672</v>
      </c>
      <c r="L84" s="206" t="s">
        <v>275</v>
      </c>
      <c r="M84" s="203" t="s">
        <v>372</v>
      </c>
      <c r="N84" s="196">
        <f t="shared" si="9"/>
        <v>10076.6106</v>
      </c>
      <c r="O84" s="140">
        <v>559.8117</v>
      </c>
      <c r="P84" s="81">
        <v>23</v>
      </c>
      <c r="Q84" s="81">
        <v>0.77</v>
      </c>
      <c r="R84" s="83">
        <f t="shared" si="10"/>
        <v>431.055009</v>
      </c>
      <c r="S84" s="83">
        <f t="shared" si="7"/>
        <v>7758.990162</v>
      </c>
      <c r="T84" s="81"/>
      <c r="U84" s="81" t="s">
        <v>277</v>
      </c>
      <c r="V84" s="84"/>
    </row>
    <row r="85" customHeight="1" spans="1:22">
      <c r="A85" s="187"/>
      <c r="B85" s="188">
        <v>82</v>
      </c>
      <c r="C85" s="189"/>
      <c r="D85" s="204">
        <v>5256607</v>
      </c>
      <c r="E85" s="190" t="s">
        <v>134</v>
      </c>
      <c r="F85" s="191">
        <v>1</v>
      </c>
      <c r="G85" s="192"/>
      <c r="H85" s="193" t="s">
        <v>9</v>
      </c>
      <c r="I85" s="194"/>
      <c r="J85" s="213" t="s">
        <v>373</v>
      </c>
      <c r="K85" s="81">
        <v>5256607</v>
      </c>
      <c r="L85" s="206" t="s">
        <v>275</v>
      </c>
      <c r="M85" s="214" t="s">
        <v>374</v>
      </c>
      <c r="N85" s="198">
        <f t="shared" si="9"/>
        <v>4271.431098</v>
      </c>
      <c r="O85" s="215">
        <v>4271.431098</v>
      </c>
      <c r="P85" s="109">
        <v>24</v>
      </c>
      <c r="Q85" s="109">
        <v>0.76</v>
      </c>
      <c r="R85" s="199">
        <f>O85*Q85</f>
        <v>3246.28763448</v>
      </c>
      <c r="S85" s="199">
        <v>2700</v>
      </c>
      <c r="T85" s="216" t="s">
        <v>375</v>
      </c>
      <c r="U85" s="81" t="s">
        <v>277</v>
      </c>
      <c r="V85" s="84" t="s">
        <v>329</v>
      </c>
    </row>
    <row r="86" customHeight="1" spans="1:22">
      <c r="A86" s="187"/>
      <c r="B86" s="188">
        <v>83</v>
      </c>
      <c r="C86" s="189"/>
      <c r="D86" s="190" t="s">
        <v>135</v>
      </c>
      <c r="E86" s="190" t="s">
        <v>136</v>
      </c>
      <c r="F86" s="191">
        <v>2</v>
      </c>
      <c r="G86" s="192"/>
      <c r="H86" s="193" t="s">
        <v>9</v>
      </c>
      <c r="I86" s="194"/>
      <c r="J86" s="217" t="s">
        <v>374</v>
      </c>
      <c r="K86" s="81">
        <v>5318651</v>
      </c>
      <c r="L86" s="206" t="s">
        <v>275</v>
      </c>
      <c r="M86" s="214" t="s">
        <v>374</v>
      </c>
      <c r="N86" s="218"/>
      <c r="O86" s="219">
        <v>3083.93</v>
      </c>
      <c r="P86" s="220">
        <v>24</v>
      </c>
      <c r="Q86" s="109">
        <v>0.76</v>
      </c>
      <c r="R86" s="221">
        <v>2067</v>
      </c>
      <c r="S86" s="199">
        <f>R86*F86</f>
        <v>4134</v>
      </c>
      <c r="T86" s="97" t="s">
        <v>376</v>
      </c>
      <c r="U86" s="81" t="s">
        <v>277</v>
      </c>
      <c r="V86" s="84" t="s">
        <v>329</v>
      </c>
    </row>
    <row r="87" customHeight="1" spans="1:22">
      <c r="A87" s="187"/>
      <c r="B87" s="188">
        <v>84</v>
      </c>
      <c r="C87" s="189"/>
      <c r="D87" s="204">
        <v>4990601</v>
      </c>
      <c r="E87" s="190" t="s">
        <v>137</v>
      </c>
      <c r="F87" s="191">
        <v>2</v>
      </c>
      <c r="G87" s="192"/>
      <c r="H87" s="193" t="s">
        <v>9</v>
      </c>
      <c r="I87" s="194"/>
      <c r="J87" s="217" t="s">
        <v>374</v>
      </c>
      <c r="K87" s="81">
        <v>4990601</v>
      </c>
      <c r="L87" s="206" t="s">
        <v>275</v>
      </c>
      <c r="M87" s="203" t="s">
        <v>374</v>
      </c>
      <c r="N87" s="196">
        <f t="shared" si="9"/>
        <v>10445.4312</v>
      </c>
      <c r="O87" s="140">
        <v>5222.7156</v>
      </c>
      <c r="P87" s="81">
        <v>24</v>
      </c>
      <c r="Q87" s="81">
        <v>0.76</v>
      </c>
      <c r="R87" s="83">
        <f>O87*Q87</f>
        <v>3969.263856</v>
      </c>
      <c r="S87" s="83">
        <f t="shared" si="7"/>
        <v>7938.527712</v>
      </c>
      <c r="T87" s="81"/>
      <c r="U87" s="81" t="s">
        <v>277</v>
      </c>
      <c r="V87" s="84" t="s">
        <v>329</v>
      </c>
    </row>
    <row r="88" customHeight="1" spans="1:22">
      <c r="A88" s="187"/>
      <c r="B88" s="188">
        <v>85</v>
      </c>
      <c r="C88" s="189"/>
      <c r="D88" s="190" t="s">
        <v>138</v>
      </c>
      <c r="E88" s="190" t="s">
        <v>139</v>
      </c>
      <c r="F88" s="192">
        <v>30</v>
      </c>
      <c r="G88" s="192"/>
      <c r="H88" s="193" t="s">
        <v>9</v>
      </c>
      <c r="I88" s="194"/>
      <c r="J88" s="182" t="s">
        <v>305</v>
      </c>
      <c r="K88" s="81" t="s">
        <v>377</v>
      </c>
      <c r="L88" s="206" t="s">
        <v>275</v>
      </c>
      <c r="M88" s="81" t="s">
        <v>378</v>
      </c>
      <c r="N88" s="196">
        <f t="shared" si="9"/>
        <v>4356.9</v>
      </c>
      <c r="O88" s="83">
        <v>145.23</v>
      </c>
      <c r="P88" s="81">
        <v>17</v>
      </c>
      <c r="Q88" s="81">
        <v>0.83</v>
      </c>
      <c r="R88" s="83">
        <f t="shared" ref="R88:R93" si="11">Q88*O88</f>
        <v>120.5409</v>
      </c>
      <c r="S88" s="83">
        <f t="shared" si="7"/>
        <v>3616.227</v>
      </c>
      <c r="T88" s="81"/>
      <c r="U88" s="81" t="s">
        <v>277</v>
      </c>
      <c r="V88" s="84"/>
    </row>
    <row r="89" customHeight="1" spans="1:22">
      <c r="A89" s="187"/>
      <c r="B89" s="188">
        <v>86</v>
      </c>
      <c r="C89" s="189"/>
      <c r="D89" s="201">
        <v>5267974</v>
      </c>
      <c r="E89" s="190" t="s">
        <v>140</v>
      </c>
      <c r="F89" s="192">
        <v>30</v>
      </c>
      <c r="G89" s="192"/>
      <c r="H89" s="193" t="s">
        <v>9</v>
      </c>
      <c r="I89" s="194"/>
      <c r="J89" s="195" t="s">
        <v>288</v>
      </c>
      <c r="K89" s="81">
        <v>5267974</v>
      </c>
      <c r="L89" s="206" t="s">
        <v>275</v>
      </c>
      <c r="M89" s="203" t="s">
        <v>379</v>
      </c>
      <c r="N89" s="196">
        <f t="shared" si="9"/>
        <v>1969.5</v>
      </c>
      <c r="O89" s="140">
        <v>65.65</v>
      </c>
      <c r="P89" s="81">
        <v>23</v>
      </c>
      <c r="Q89" s="81">
        <v>0.77</v>
      </c>
      <c r="R89" s="83">
        <f t="shared" si="11"/>
        <v>50.5505</v>
      </c>
      <c r="S89" s="83">
        <f t="shared" si="7"/>
        <v>1516.515</v>
      </c>
      <c r="T89" s="81"/>
      <c r="U89" s="81" t="s">
        <v>277</v>
      </c>
      <c r="V89" s="84"/>
    </row>
    <row r="90" customHeight="1" spans="1:22">
      <c r="A90" s="187"/>
      <c r="B90" s="188">
        <v>87</v>
      </c>
      <c r="C90" s="189"/>
      <c r="D90" s="201">
        <v>5270378</v>
      </c>
      <c r="E90" s="190" t="s">
        <v>141</v>
      </c>
      <c r="F90" s="192">
        <v>8</v>
      </c>
      <c r="G90" s="192"/>
      <c r="H90" s="193" t="s">
        <v>9</v>
      </c>
      <c r="I90" s="194"/>
      <c r="J90" s="195" t="s">
        <v>288</v>
      </c>
      <c r="K90" s="81">
        <v>5270378</v>
      </c>
      <c r="L90" s="206" t="s">
        <v>275</v>
      </c>
      <c r="M90" s="203" t="s">
        <v>380</v>
      </c>
      <c r="N90" s="196">
        <f t="shared" si="9"/>
        <v>2272.4</v>
      </c>
      <c r="O90" s="140">
        <v>284.05</v>
      </c>
      <c r="P90" s="81">
        <v>23</v>
      </c>
      <c r="Q90" s="81">
        <v>0.77</v>
      </c>
      <c r="R90" s="83">
        <f t="shared" si="11"/>
        <v>218.7185</v>
      </c>
      <c r="S90" s="83">
        <f t="shared" si="7"/>
        <v>1749.748</v>
      </c>
      <c r="T90" s="81"/>
      <c r="U90" s="81" t="s">
        <v>277</v>
      </c>
      <c r="V90" s="84"/>
    </row>
    <row r="91" customHeight="1" spans="1:22">
      <c r="A91" s="187"/>
      <c r="B91" s="188">
        <v>88</v>
      </c>
      <c r="C91" s="189"/>
      <c r="D91" s="190" t="s">
        <v>142</v>
      </c>
      <c r="E91" s="190" t="s">
        <v>143</v>
      </c>
      <c r="F91" s="192">
        <v>200</v>
      </c>
      <c r="G91" s="192"/>
      <c r="H91" s="193" t="s">
        <v>9</v>
      </c>
      <c r="I91" s="194"/>
      <c r="J91" s="195" t="s">
        <v>288</v>
      </c>
      <c r="K91" s="81">
        <v>5257057</v>
      </c>
      <c r="L91" s="206" t="s">
        <v>275</v>
      </c>
      <c r="M91" s="203" t="s">
        <v>381</v>
      </c>
      <c r="N91" s="196">
        <f t="shared" si="9"/>
        <v>4705.2</v>
      </c>
      <c r="O91" s="140">
        <v>23.526</v>
      </c>
      <c r="P91" s="81">
        <v>20</v>
      </c>
      <c r="Q91" s="184">
        <v>0.8</v>
      </c>
      <c r="R91" s="83">
        <f t="shared" si="11"/>
        <v>18.8208</v>
      </c>
      <c r="S91" s="83">
        <f t="shared" si="7"/>
        <v>3764.16</v>
      </c>
      <c r="T91" s="81"/>
      <c r="U91" s="81" t="s">
        <v>277</v>
      </c>
      <c r="V91" s="84"/>
    </row>
    <row r="92" customHeight="1" spans="1:22">
      <c r="A92" s="187"/>
      <c r="B92" s="188">
        <v>89</v>
      </c>
      <c r="C92" s="189"/>
      <c r="D92" s="201">
        <v>5265278</v>
      </c>
      <c r="E92" s="190" t="s">
        <v>144</v>
      </c>
      <c r="F92" s="192">
        <v>50</v>
      </c>
      <c r="G92" s="192"/>
      <c r="H92" s="193" t="s">
        <v>9</v>
      </c>
      <c r="I92" s="194"/>
      <c r="J92" s="195" t="s">
        <v>288</v>
      </c>
      <c r="K92" s="81">
        <v>5265278</v>
      </c>
      <c r="L92" s="206" t="s">
        <v>275</v>
      </c>
      <c r="M92" s="203" t="s">
        <v>382</v>
      </c>
      <c r="N92" s="196">
        <f t="shared" si="9"/>
        <v>1391.535</v>
      </c>
      <c r="O92" s="140">
        <v>27.8307</v>
      </c>
      <c r="P92" s="81">
        <v>17</v>
      </c>
      <c r="Q92" s="184">
        <v>0.83</v>
      </c>
      <c r="R92" s="83">
        <f t="shared" si="11"/>
        <v>23.099481</v>
      </c>
      <c r="S92" s="83">
        <f t="shared" si="7"/>
        <v>1154.97405</v>
      </c>
      <c r="T92" s="81"/>
      <c r="U92" s="81" t="s">
        <v>277</v>
      </c>
      <c r="V92" s="84"/>
    </row>
    <row r="93" customHeight="1" spans="1:22">
      <c r="A93" s="187"/>
      <c r="B93" s="188">
        <v>90</v>
      </c>
      <c r="C93" s="189"/>
      <c r="D93" s="200" t="s">
        <v>145</v>
      </c>
      <c r="E93" s="190" t="s">
        <v>146</v>
      </c>
      <c r="F93" s="192">
        <v>150</v>
      </c>
      <c r="G93" s="192"/>
      <c r="H93" s="193" t="s">
        <v>9</v>
      </c>
      <c r="I93" s="194"/>
      <c r="J93" s="195" t="s">
        <v>288</v>
      </c>
      <c r="K93" s="81">
        <v>5566279</v>
      </c>
      <c r="L93" s="206" t="s">
        <v>275</v>
      </c>
      <c r="M93" s="203" t="s">
        <v>383</v>
      </c>
      <c r="N93" s="196">
        <f t="shared" si="9"/>
        <v>16819.5</v>
      </c>
      <c r="O93" s="140">
        <v>112.13</v>
      </c>
      <c r="P93" s="81">
        <v>24</v>
      </c>
      <c r="Q93" s="81">
        <v>0.76</v>
      </c>
      <c r="R93" s="83">
        <f t="shared" si="11"/>
        <v>85.2188</v>
      </c>
      <c r="S93" s="83">
        <f t="shared" si="7"/>
        <v>12782.82</v>
      </c>
      <c r="T93" s="81"/>
      <c r="U93" s="81" t="s">
        <v>277</v>
      </c>
      <c r="V93" s="84"/>
    </row>
    <row r="94" customHeight="1" spans="1:22">
      <c r="A94" s="187"/>
      <c r="B94" s="188">
        <v>91</v>
      </c>
      <c r="C94" s="189"/>
      <c r="D94" s="201">
        <v>3032105</v>
      </c>
      <c r="E94" s="190" t="s">
        <v>147</v>
      </c>
      <c r="F94" s="192">
        <v>150</v>
      </c>
      <c r="G94" s="192"/>
      <c r="H94" s="193" t="s">
        <v>9</v>
      </c>
      <c r="I94" s="194"/>
      <c r="J94" s="195" t="s">
        <v>288</v>
      </c>
      <c r="K94" s="81">
        <v>3032105</v>
      </c>
      <c r="L94" s="206" t="s">
        <v>275</v>
      </c>
      <c r="M94" s="203" t="s">
        <v>384</v>
      </c>
      <c r="N94" s="196">
        <f t="shared" si="9"/>
        <v>2502</v>
      </c>
      <c r="O94" s="140">
        <v>16.68</v>
      </c>
      <c r="P94" s="81">
        <v>15</v>
      </c>
      <c r="Q94" s="184">
        <v>0.85</v>
      </c>
      <c r="R94" s="83">
        <f>O94*Q94</f>
        <v>14.178</v>
      </c>
      <c r="S94" s="83">
        <f t="shared" si="7"/>
        <v>2126.7</v>
      </c>
      <c r="T94" s="81"/>
      <c r="U94" s="81" t="s">
        <v>277</v>
      </c>
      <c r="V94" s="84"/>
    </row>
    <row r="95" customHeight="1" spans="1:22">
      <c r="A95" s="187"/>
      <c r="B95" s="188">
        <v>92</v>
      </c>
      <c r="C95" s="189"/>
      <c r="D95" s="201">
        <v>5269331</v>
      </c>
      <c r="E95" s="190" t="s">
        <v>148</v>
      </c>
      <c r="F95" s="192">
        <v>12</v>
      </c>
      <c r="G95" s="192"/>
      <c r="H95" s="193" t="s">
        <v>9</v>
      </c>
      <c r="I95" s="194"/>
      <c r="J95" s="195" t="s">
        <v>288</v>
      </c>
      <c r="K95" s="81">
        <v>5269331</v>
      </c>
      <c r="L95" s="81" t="s">
        <v>291</v>
      </c>
      <c r="M95" s="203" t="s">
        <v>385</v>
      </c>
      <c r="N95" s="196">
        <f t="shared" si="9"/>
        <v>2443.4352</v>
      </c>
      <c r="O95" s="140">
        <v>203.6196</v>
      </c>
      <c r="P95" s="81">
        <v>23</v>
      </c>
      <c r="Q95" s="81">
        <v>0.77</v>
      </c>
      <c r="R95" s="83">
        <f>Q95*O95</f>
        <v>156.787092</v>
      </c>
      <c r="S95" s="83">
        <f t="shared" si="7"/>
        <v>1881.445104</v>
      </c>
      <c r="T95" s="81"/>
      <c r="U95" s="81" t="s">
        <v>277</v>
      </c>
      <c r="V95" s="84"/>
    </row>
    <row r="96" customHeight="1" spans="1:22">
      <c r="A96" s="187"/>
      <c r="B96" s="188">
        <v>93</v>
      </c>
      <c r="C96" s="189"/>
      <c r="D96" s="204">
        <v>5270336</v>
      </c>
      <c r="E96" s="190" t="s">
        <v>149</v>
      </c>
      <c r="F96" s="192">
        <v>240</v>
      </c>
      <c r="G96" s="192"/>
      <c r="H96" s="193" t="s">
        <v>9</v>
      </c>
      <c r="I96" s="194"/>
      <c r="J96" s="195" t="s">
        <v>288</v>
      </c>
      <c r="K96" s="81">
        <v>5270336</v>
      </c>
      <c r="L96" s="81" t="s">
        <v>291</v>
      </c>
      <c r="M96" s="203" t="s">
        <v>386</v>
      </c>
      <c r="N96" s="196">
        <f t="shared" si="9"/>
        <v>48868.704</v>
      </c>
      <c r="O96" s="140">
        <v>203.6196</v>
      </c>
      <c r="P96" s="81">
        <v>24</v>
      </c>
      <c r="Q96" s="81">
        <v>0.76</v>
      </c>
      <c r="R96" s="83">
        <f>Q96*O96</f>
        <v>154.750896</v>
      </c>
      <c r="S96" s="83">
        <f t="shared" si="7"/>
        <v>37140.21504</v>
      </c>
      <c r="T96" s="81"/>
      <c r="U96" s="81" t="s">
        <v>277</v>
      </c>
      <c r="V96" s="84"/>
    </row>
    <row r="97" customHeight="1" spans="1:22">
      <c r="A97" s="187"/>
      <c r="B97" s="188">
        <v>94</v>
      </c>
      <c r="C97" s="189"/>
      <c r="D97" s="201">
        <v>5258754</v>
      </c>
      <c r="E97" s="190" t="s">
        <v>150</v>
      </c>
      <c r="F97" s="192">
        <v>24</v>
      </c>
      <c r="G97" s="192"/>
      <c r="H97" s="193" t="s">
        <v>9</v>
      </c>
      <c r="I97" s="194"/>
      <c r="J97" s="195" t="s">
        <v>288</v>
      </c>
      <c r="K97" s="81">
        <v>5258754</v>
      </c>
      <c r="L97" s="206" t="s">
        <v>275</v>
      </c>
      <c r="M97" s="203" t="s">
        <v>387</v>
      </c>
      <c r="N97" s="196">
        <f t="shared" si="9"/>
        <v>4352.8824</v>
      </c>
      <c r="O97" s="140">
        <v>181.3701</v>
      </c>
      <c r="P97" s="81">
        <v>23</v>
      </c>
      <c r="Q97" s="81">
        <v>0.77</v>
      </c>
      <c r="R97" s="83">
        <f>Q97*O97</f>
        <v>139.654977</v>
      </c>
      <c r="S97" s="83">
        <f t="shared" si="7"/>
        <v>3351.719448</v>
      </c>
      <c r="T97" s="81"/>
      <c r="U97" s="81" t="s">
        <v>277</v>
      </c>
      <c r="V97" s="84"/>
    </row>
    <row r="98" customHeight="1" spans="1:22">
      <c r="A98" s="187"/>
      <c r="B98" s="188">
        <v>95</v>
      </c>
      <c r="C98" s="189"/>
      <c r="D98" s="204">
        <v>4995266</v>
      </c>
      <c r="E98" s="190" t="s">
        <v>151</v>
      </c>
      <c r="F98" s="192">
        <v>76</v>
      </c>
      <c r="G98" s="192"/>
      <c r="H98" s="193" t="s">
        <v>9</v>
      </c>
      <c r="I98" s="194"/>
      <c r="J98" s="195" t="s">
        <v>288</v>
      </c>
      <c r="K98" s="81">
        <v>4995266</v>
      </c>
      <c r="L98" s="206" t="s">
        <v>275</v>
      </c>
      <c r="M98" s="203" t="s">
        <v>388</v>
      </c>
      <c r="N98" s="196">
        <f t="shared" si="9"/>
        <v>11657.108</v>
      </c>
      <c r="O98" s="140">
        <v>153.383</v>
      </c>
      <c r="P98" s="81">
        <v>24</v>
      </c>
      <c r="Q98" s="81">
        <v>0.76</v>
      </c>
      <c r="R98" s="83">
        <f>Q98*O98</f>
        <v>116.57108</v>
      </c>
      <c r="S98" s="83">
        <f t="shared" si="7"/>
        <v>8859.40208</v>
      </c>
      <c r="T98" s="81"/>
      <c r="U98" s="81" t="s">
        <v>277</v>
      </c>
      <c r="V98" s="84"/>
    </row>
    <row r="99" customHeight="1" spans="1:22">
      <c r="A99" s="187"/>
      <c r="B99" s="188">
        <v>96</v>
      </c>
      <c r="C99" s="189"/>
      <c r="D99" s="201">
        <v>5264426</v>
      </c>
      <c r="E99" s="190" t="s">
        <v>152</v>
      </c>
      <c r="F99" s="192">
        <v>100</v>
      </c>
      <c r="G99" s="192"/>
      <c r="H99" s="193" t="s">
        <v>9</v>
      </c>
      <c r="I99" s="194"/>
      <c r="J99" s="195" t="s">
        <v>288</v>
      </c>
      <c r="K99" s="81">
        <v>5264426</v>
      </c>
      <c r="L99" s="206" t="s">
        <v>275</v>
      </c>
      <c r="M99" s="203" t="s">
        <v>389</v>
      </c>
      <c r="N99" s="196">
        <f t="shared" si="9"/>
        <v>1915</v>
      </c>
      <c r="O99" s="140">
        <v>19.15</v>
      </c>
      <c r="P99" s="81">
        <v>15</v>
      </c>
      <c r="Q99" s="184">
        <v>0.85</v>
      </c>
      <c r="R99" s="83">
        <f>O99*Q99</f>
        <v>16.2775</v>
      </c>
      <c r="S99" s="83">
        <f t="shared" si="7"/>
        <v>1627.75</v>
      </c>
      <c r="T99" s="81"/>
      <c r="U99" s="81" t="s">
        <v>277</v>
      </c>
      <c r="V99" s="84"/>
    </row>
    <row r="100" customHeight="1" spans="1:22">
      <c r="A100" s="187"/>
      <c r="B100" s="188">
        <v>97</v>
      </c>
      <c r="C100" s="189"/>
      <c r="D100" s="201">
        <v>4983654</v>
      </c>
      <c r="E100" s="190" t="s">
        <v>153</v>
      </c>
      <c r="F100" s="192">
        <v>100</v>
      </c>
      <c r="G100" s="192"/>
      <c r="H100" s="193" t="s">
        <v>9</v>
      </c>
      <c r="I100" s="194"/>
      <c r="J100" s="195" t="s">
        <v>288</v>
      </c>
      <c r="K100" s="81">
        <v>4983654</v>
      </c>
      <c r="L100" s="206" t="s">
        <v>275</v>
      </c>
      <c r="M100" s="203" t="s">
        <v>390</v>
      </c>
      <c r="N100" s="196">
        <f t="shared" si="9"/>
        <v>1594</v>
      </c>
      <c r="O100" s="140">
        <v>15.94</v>
      </c>
      <c r="P100" s="81">
        <v>15</v>
      </c>
      <c r="Q100" s="184">
        <v>0.85</v>
      </c>
      <c r="R100" s="83">
        <f>O100*Q100</f>
        <v>13.549</v>
      </c>
      <c r="S100" s="83">
        <f t="shared" si="7"/>
        <v>1354.9</v>
      </c>
      <c r="T100" s="81"/>
      <c r="U100" s="81" t="s">
        <v>277</v>
      </c>
      <c r="V100" s="84"/>
    </row>
    <row r="101" customHeight="1" spans="1:22">
      <c r="A101" s="187"/>
      <c r="B101" s="188">
        <v>98</v>
      </c>
      <c r="C101" s="189"/>
      <c r="D101" s="201">
        <v>5261421</v>
      </c>
      <c r="E101" s="190" t="s">
        <v>154</v>
      </c>
      <c r="F101" s="192">
        <v>80</v>
      </c>
      <c r="G101" s="192"/>
      <c r="H101" s="193" t="s">
        <v>9</v>
      </c>
      <c r="I101" s="194"/>
      <c r="J101" s="195" t="s">
        <v>288</v>
      </c>
      <c r="K101" s="81">
        <v>5261421</v>
      </c>
      <c r="L101" s="206" t="s">
        <v>275</v>
      </c>
      <c r="M101" s="203" t="s">
        <v>391</v>
      </c>
      <c r="N101" s="196">
        <f t="shared" ref="N101:N132" si="12">O101*F101</f>
        <v>1467.36</v>
      </c>
      <c r="O101" s="140">
        <v>18.342</v>
      </c>
      <c r="P101" s="81">
        <v>15</v>
      </c>
      <c r="Q101" s="184">
        <v>0.85</v>
      </c>
      <c r="R101" s="83">
        <f>O101*Q101</f>
        <v>15.5907</v>
      </c>
      <c r="S101" s="83">
        <f t="shared" si="7"/>
        <v>1247.256</v>
      </c>
      <c r="T101" s="81"/>
      <c r="U101" s="81" t="s">
        <v>277</v>
      </c>
      <c r="V101" s="84"/>
    </row>
    <row r="102" customHeight="1" spans="1:22">
      <c r="A102" s="187"/>
      <c r="B102" s="188">
        <v>99</v>
      </c>
      <c r="C102" s="189"/>
      <c r="D102" s="190" t="s">
        <v>155</v>
      </c>
      <c r="E102" s="190" t="s">
        <v>156</v>
      </c>
      <c r="F102" s="192">
        <v>5</v>
      </c>
      <c r="G102" s="192"/>
      <c r="H102" s="193" t="s">
        <v>9</v>
      </c>
      <c r="I102" s="194"/>
      <c r="J102" s="195" t="s">
        <v>288</v>
      </c>
      <c r="K102" s="81">
        <v>4943051</v>
      </c>
      <c r="L102" s="206" t="s">
        <v>275</v>
      </c>
      <c r="M102" s="203" t="s">
        <v>392</v>
      </c>
      <c r="N102" s="196">
        <f t="shared" si="12"/>
        <v>543.915</v>
      </c>
      <c r="O102" s="140">
        <v>108.783</v>
      </c>
      <c r="P102" s="81">
        <v>23</v>
      </c>
      <c r="Q102" s="81">
        <v>0.77</v>
      </c>
      <c r="R102" s="83">
        <f>Q102*O102</f>
        <v>83.76291</v>
      </c>
      <c r="S102" s="83">
        <f t="shared" si="7"/>
        <v>418.81455</v>
      </c>
      <c r="T102" s="81"/>
      <c r="U102" s="81" t="s">
        <v>277</v>
      </c>
      <c r="V102" s="84"/>
    </row>
    <row r="103" customHeight="1" spans="1:22">
      <c r="A103" s="187"/>
      <c r="B103" s="188">
        <v>100</v>
      </c>
      <c r="C103" s="189"/>
      <c r="D103" s="190" t="s">
        <v>157</v>
      </c>
      <c r="E103" s="190" t="s">
        <v>158</v>
      </c>
      <c r="F103" s="192">
        <v>30</v>
      </c>
      <c r="G103" s="192"/>
      <c r="H103" s="193" t="s">
        <v>9</v>
      </c>
      <c r="I103" s="194"/>
      <c r="J103" s="195" t="s">
        <v>288</v>
      </c>
      <c r="K103" s="81">
        <v>5257187</v>
      </c>
      <c r="L103" s="206" t="s">
        <v>275</v>
      </c>
      <c r="M103" s="203" t="s">
        <v>393</v>
      </c>
      <c r="N103" s="196">
        <f t="shared" si="12"/>
        <v>2399.193</v>
      </c>
      <c r="O103" s="140">
        <v>79.9731</v>
      </c>
      <c r="P103" s="81">
        <v>23</v>
      </c>
      <c r="Q103" s="81">
        <v>0.77</v>
      </c>
      <c r="R103" s="83">
        <f>Q103*O103</f>
        <v>61.579287</v>
      </c>
      <c r="S103" s="83">
        <f t="shared" si="7"/>
        <v>1847.37861</v>
      </c>
      <c r="T103" s="81"/>
      <c r="U103" s="81" t="s">
        <v>277</v>
      </c>
      <c r="V103" s="84"/>
    </row>
    <row r="104" customHeight="1" spans="1:22">
      <c r="A104" s="187"/>
      <c r="B104" s="188">
        <v>101</v>
      </c>
      <c r="C104" s="189"/>
      <c r="D104" s="201">
        <v>4946239</v>
      </c>
      <c r="E104" s="190" t="s">
        <v>159</v>
      </c>
      <c r="F104" s="192">
        <v>10</v>
      </c>
      <c r="G104" s="192"/>
      <c r="H104" s="193" t="s">
        <v>9</v>
      </c>
      <c r="I104" s="194"/>
      <c r="J104" s="195" t="s">
        <v>288</v>
      </c>
      <c r="K104" s="81">
        <v>4946239</v>
      </c>
      <c r="L104" s="206" t="s">
        <v>275</v>
      </c>
      <c r="M104" s="203" t="s">
        <v>394</v>
      </c>
      <c r="N104" s="196">
        <f t="shared" si="12"/>
        <v>524.25</v>
      </c>
      <c r="O104" s="140">
        <v>52.425</v>
      </c>
      <c r="P104" s="81">
        <v>23</v>
      </c>
      <c r="Q104" s="81">
        <v>0.77</v>
      </c>
      <c r="R104" s="83">
        <f>Q104*O104</f>
        <v>40.36725</v>
      </c>
      <c r="S104" s="83">
        <f t="shared" si="7"/>
        <v>403.6725</v>
      </c>
      <c r="T104" s="81"/>
      <c r="U104" s="81" t="s">
        <v>277</v>
      </c>
      <c r="V104" s="84"/>
    </row>
    <row r="105" customHeight="1" spans="1:22">
      <c r="A105" s="187"/>
      <c r="B105" s="188">
        <v>102</v>
      </c>
      <c r="C105" s="189"/>
      <c r="D105" s="201">
        <v>5255312</v>
      </c>
      <c r="E105" s="190" t="s">
        <v>160</v>
      </c>
      <c r="F105" s="192">
        <v>50</v>
      </c>
      <c r="G105" s="192"/>
      <c r="H105" s="193" t="s">
        <v>9</v>
      </c>
      <c r="I105" s="194"/>
      <c r="J105" s="195" t="s">
        <v>288</v>
      </c>
      <c r="K105" s="81">
        <v>5255312</v>
      </c>
      <c r="L105" s="206" t="s">
        <v>275</v>
      </c>
      <c r="M105" s="203" t="s">
        <v>395</v>
      </c>
      <c r="N105" s="196">
        <f t="shared" si="12"/>
        <v>2197</v>
      </c>
      <c r="O105" s="140">
        <v>43.94</v>
      </c>
      <c r="P105" s="81">
        <v>16</v>
      </c>
      <c r="Q105" s="81">
        <v>0.84</v>
      </c>
      <c r="R105" s="83">
        <f>O105*Q105</f>
        <v>36.9096</v>
      </c>
      <c r="S105" s="83">
        <f t="shared" si="7"/>
        <v>1845.48</v>
      </c>
      <c r="T105" s="81"/>
      <c r="U105" s="81" t="s">
        <v>277</v>
      </c>
      <c r="V105" s="84"/>
    </row>
    <row r="106" customHeight="1" spans="1:22">
      <c r="A106" s="187"/>
      <c r="B106" s="188">
        <v>103</v>
      </c>
      <c r="C106" s="189"/>
      <c r="D106" s="201">
        <v>5266796</v>
      </c>
      <c r="E106" s="190" t="s">
        <v>161</v>
      </c>
      <c r="F106" s="192">
        <v>100</v>
      </c>
      <c r="G106" s="192"/>
      <c r="H106" s="193" t="s">
        <v>9</v>
      </c>
      <c r="I106" s="194"/>
      <c r="J106" s="195" t="s">
        <v>288</v>
      </c>
      <c r="K106" s="81">
        <v>5266796</v>
      </c>
      <c r="L106" s="206" t="s">
        <v>275</v>
      </c>
      <c r="M106" s="203" t="s">
        <v>396</v>
      </c>
      <c r="N106" s="196">
        <f t="shared" si="12"/>
        <v>862</v>
      </c>
      <c r="O106" s="140">
        <v>8.62</v>
      </c>
      <c r="P106" s="81">
        <v>15</v>
      </c>
      <c r="Q106" s="184">
        <v>0.85</v>
      </c>
      <c r="R106" s="83">
        <f>O106*Q106</f>
        <v>7.327</v>
      </c>
      <c r="S106" s="83">
        <f t="shared" si="7"/>
        <v>732.7</v>
      </c>
      <c r="T106" s="81"/>
      <c r="U106" s="81" t="s">
        <v>277</v>
      </c>
      <c r="V106" s="84"/>
    </row>
    <row r="107" customHeight="1" spans="1:22">
      <c r="A107" s="187"/>
      <c r="B107" s="188">
        <v>104</v>
      </c>
      <c r="C107" s="189"/>
      <c r="D107" s="200" t="s">
        <v>162</v>
      </c>
      <c r="E107" s="190" t="s">
        <v>163</v>
      </c>
      <c r="F107" s="192">
        <v>210</v>
      </c>
      <c r="G107" s="192"/>
      <c r="H107" s="193" t="s">
        <v>9</v>
      </c>
      <c r="I107" s="194"/>
      <c r="J107" s="195" t="s">
        <v>288</v>
      </c>
      <c r="K107" s="81">
        <v>5264477</v>
      </c>
      <c r="L107" s="206" t="s">
        <v>275</v>
      </c>
      <c r="M107" s="203" t="s">
        <v>397</v>
      </c>
      <c r="N107" s="196">
        <f t="shared" si="12"/>
        <v>4556.034</v>
      </c>
      <c r="O107" s="140">
        <v>21.6954</v>
      </c>
      <c r="P107" s="81">
        <v>17</v>
      </c>
      <c r="Q107" s="184">
        <v>0.83</v>
      </c>
      <c r="R107" s="83">
        <f>Q107*O107</f>
        <v>18.007182</v>
      </c>
      <c r="S107" s="83">
        <f t="shared" si="7"/>
        <v>3781.50822</v>
      </c>
      <c r="T107" s="81"/>
      <c r="U107" s="81" t="s">
        <v>277</v>
      </c>
      <c r="V107" s="84"/>
    </row>
    <row r="108" customHeight="1" spans="1:22">
      <c r="A108" s="187"/>
      <c r="B108" s="188">
        <v>105</v>
      </c>
      <c r="C108" s="189"/>
      <c r="D108" s="190" t="s">
        <v>164</v>
      </c>
      <c r="E108" s="190" t="s">
        <v>165</v>
      </c>
      <c r="F108" s="192">
        <v>50</v>
      </c>
      <c r="G108" s="192"/>
      <c r="H108" s="193" t="s">
        <v>9</v>
      </c>
      <c r="I108" s="194"/>
      <c r="J108" s="195" t="s">
        <v>288</v>
      </c>
      <c r="K108" s="81">
        <v>5361694</v>
      </c>
      <c r="L108" s="206" t="s">
        <v>275</v>
      </c>
      <c r="M108" s="203" t="s">
        <v>397</v>
      </c>
      <c r="N108" s="196">
        <f t="shared" si="12"/>
        <v>1084.77</v>
      </c>
      <c r="O108" s="140">
        <v>21.6954</v>
      </c>
      <c r="P108" s="81">
        <v>16</v>
      </c>
      <c r="Q108" s="81">
        <v>0.84</v>
      </c>
      <c r="R108" s="83">
        <f>O108*Q108</f>
        <v>18.224136</v>
      </c>
      <c r="S108" s="83">
        <f t="shared" si="7"/>
        <v>911.2068</v>
      </c>
      <c r="T108" s="81"/>
      <c r="U108" s="81" t="s">
        <v>277</v>
      </c>
      <c r="V108" s="84"/>
    </row>
    <row r="109" customHeight="1" spans="1:22">
      <c r="A109" s="187"/>
      <c r="B109" s="188">
        <v>106</v>
      </c>
      <c r="C109" s="189"/>
      <c r="D109" s="201">
        <v>5263530</v>
      </c>
      <c r="E109" s="190" t="s">
        <v>166</v>
      </c>
      <c r="F109" s="192">
        <v>70</v>
      </c>
      <c r="G109" s="192"/>
      <c r="H109" s="193" t="s">
        <v>9</v>
      </c>
      <c r="I109" s="194"/>
      <c r="J109" s="195" t="s">
        <v>288</v>
      </c>
      <c r="K109" s="81">
        <v>5263530</v>
      </c>
      <c r="L109" s="206" t="s">
        <v>275</v>
      </c>
      <c r="M109" s="203" t="s">
        <v>398</v>
      </c>
      <c r="N109" s="196">
        <f t="shared" si="12"/>
        <v>1311.8</v>
      </c>
      <c r="O109" s="140">
        <v>18.74</v>
      </c>
      <c r="P109" s="81">
        <v>15</v>
      </c>
      <c r="Q109" s="184">
        <v>0.85</v>
      </c>
      <c r="R109" s="83">
        <f>O109*Q109</f>
        <v>15.929</v>
      </c>
      <c r="S109" s="83">
        <f t="shared" si="7"/>
        <v>1115.03</v>
      </c>
      <c r="T109" s="81"/>
      <c r="U109" s="81" t="s">
        <v>277</v>
      </c>
      <c r="V109" s="84"/>
    </row>
    <row r="110" customHeight="1" spans="1:22">
      <c r="A110" s="187"/>
      <c r="B110" s="188">
        <v>107</v>
      </c>
      <c r="C110" s="189"/>
      <c r="D110" s="201">
        <v>5256541</v>
      </c>
      <c r="E110" s="190" t="s">
        <v>167</v>
      </c>
      <c r="F110" s="192">
        <v>10</v>
      </c>
      <c r="G110" s="192"/>
      <c r="H110" s="193" t="s">
        <v>9</v>
      </c>
      <c r="I110" s="194"/>
      <c r="J110" s="195" t="s">
        <v>288</v>
      </c>
      <c r="K110" s="81">
        <v>5256541</v>
      </c>
      <c r="L110" s="206" t="s">
        <v>275</v>
      </c>
      <c r="M110" s="203" t="s">
        <v>399</v>
      </c>
      <c r="N110" s="196">
        <f t="shared" si="12"/>
        <v>712.368</v>
      </c>
      <c r="O110" s="140">
        <v>71.2368</v>
      </c>
      <c r="P110" s="81">
        <v>23</v>
      </c>
      <c r="Q110" s="81">
        <v>0.77</v>
      </c>
      <c r="R110" s="83">
        <f>Q110*O110</f>
        <v>54.852336</v>
      </c>
      <c r="S110" s="83">
        <f t="shared" si="7"/>
        <v>548.52336</v>
      </c>
      <c r="T110" s="81"/>
      <c r="U110" s="81" t="s">
        <v>277</v>
      </c>
      <c r="V110" s="84"/>
    </row>
    <row r="111" customHeight="1" spans="1:22">
      <c r="A111" s="187"/>
      <c r="B111" s="188">
        <v>108</v>
      </c>
      <c r="C111" s="189"/>
      <c r="D111" s="201">
        <v>4980644</v>
      </c>
      <c r="E111" s="190" t="s">
        <v>168</v>
      </c>
      <c r="F111" s="192">
        <v>30</v>
      </c>
      <c r="G111" s="192"/>
      <c r="H111" s="193" t="s">
        <v>9</v>
      </c>
      <c r="I111" s="194"/>
      <c r="J111" s="195" t="s">
        <v>288</v>
      </c>
      <c r="K111" s="81">
        <v>4980644</v>
      </c>
      <c r="L111" s="206" t="s">
        <v>275</v>
      </c>
      <c r="M111" s="203" t="s">
        <v>399</v>
      </c>
      <c r="N111" s="196">
        <f t="shared" si="12"/>
        <v>2203.2</v>
      </c>
      <c r="O111" s="140">
        <v>73.44</v>
      </c>
      <c r="P111" s="81">
        <v>23</v>
      </c>
      <c r="Q111" s="81">
        <v>0.77</v>
      </c>
      <c r="R111" s="83">
        <f>Q111*O111</f>
        <v>56.5488</v>
      </c>
      <c r="S111" s="83">
        <f t="shared" si="7"/>
        <v>1696.464</v>
      </c>
      <c r="T111" s="81"/>
      <c r="U111" s="81" t="s">
        <v>277</v>
      </c>
      <c r="V111" s="84"/>
    </row>
    <row r="112" customHeight="1" spans="1:22">
      <c r="A112" s="187"/>
      <c r="B112" s="188">
        <v>109</v>
      </c>
      <c r="C112" s="189"/>
      <c r="D112" s="201">
        <v>5254612</v>
      </c>
      <c r="E112" s="190" t="s">
        <v>169</v>
      </c>
      <c r="F112" s="192">
        <v>20</v>
      </c>
      <c r="G112" s="192"/>
      <c r="H112" s="193" t="s">
        <v>9</v>
      </c>
      <c r="I112" s="194"/>
      <c r="J112" s="195" t="s">
        <v>288</v>
      </c>
      <c r="K112" s="81">
        <v>5254612</v>
      </c>
      <c r="L112" s="206" t="s">
        <v>275</v>
      </c>
      <c r="M112" s="203" t="s">
        <v>399</v>
      </c>
      <c r="N112" s="196">
        <f t="shared" si="12"/>
        <v>915.6</v>
      </c>
      <c r="O112" s="140">
        <v>45.78</v>
      </c>
      <c r="P112" s="81">
        <v>16</v>
      </c>
      <c r="Q112" s="81">
        <v>0.84</v>
      </c>
      <c r="R112" s="83">
        <f t="shared" ref="R112:R118" si="13">O112*Q112</f>
        <v>38.4552</v>
      </c>
      <c r="S112" s="83">
        <f t="shared" si="7"/>
        <v>769.104</v>
      </c>
      <c r="T112" s="81"/>
      <c r="U112" s="81" t="s">
        <v>277</v>
      </c>
      <c r="V112" s="84"/>
    </row>
    <row r="113" customHeight="1" spans="1:22">
      <c r="A113" s="187"/>
      <c r="B113" s="188">
        <v>110</v>
      </c>
      <c r="C113" s="189"/>
      <c r="D113" s="201">
        <v>5262903</v>
      </c>
      <c r="E113" s="190" t="s">
        <v>170</v>
      </c>
      <c r="F113" s="192">
        <v>50</v>
      </c>
      <c r="G113" s="192"/>
      <c r="H113" s="193" t="s">
        <v>9</v>
      </c>
      <c r="I113" s="194"/>
      <c r="J113" s="195" t="s">
        <v>288</v>
      </c>
      <c r="K113" s="81">
        <v>5262903</v>
      </c>
      <c r="L113" s="206" t="s">
        <v>275</v>
      </c>
      <c r="M113" s="203" t="s">
        <v>400</v>
      </c>
      <c r="N113" s="196">
        <f t="shared" si="12"/>
        <v>1245.42</v>
      </c>
      <c r="O113" s="140">
        <v>24.9084</v>
      </c>
      <c r="P113" s="81">
        <v>16</v>
      </c>
      <c r="Q113" s="81">
        <v>0.84</v>
      </c>
      <c r="R113" s="83">
        <f t="shared" si="13"/>
        <v>20.923056</v>
      </c>
      <c r="S113" s="83">
        <f t="shared" si="7"/>
        <v>1046.1528</v>
      </c>
      <c r="T113" s="81"/>
      <c r="U113" s="81" t="s">
        <v>277</v>
      </c>
      <c r="V113" s="84"/>
    </row>
    <row r="114" customHeight="1" spans="1:22">
      <c r="A114" s="187"/>
      <c r="B114" s="188">
        <v>111</v>
      </c>
      <c r="C114" s="189"/>
      <c r="D114" s="190" t="s">
        <v>171</v>
      </c>
      <c r="E114" s="190" t="s">
        <v>172</v>
      </c>
      <c r="F114" s="192">
        <v>100</v>
      </c>
      <c r="G114" s="192"/>
      <c r="H114" s="193" t="s">
        <v>9</v>
      </c>
      <c r="I114" s="194"/>
      <c r="J114" s="195" t="s">
        <v>288</v>
      </c>
      <c r="K114" s="81">
        <v>3934638</v>
      </c>
      <c r="L114" s="206" t="s">
        <v>275</v>
      </c>
      <c r="M114" s="203" t="s">
        <v>401</v>
      </c>
      <c r="N114" s="196">
        <f t="shared" si="12"/>
        <v>242</v>
      </c>
      <c r="O114" s="140">
        <v>2.42</v>
      </c>
      <c r="P114" s="202" t="s">
        <v>294</v>
      </c>
      <c r="Q114" s="81">
        <v>1</v>
      </c>
      <c r="R114" s="83">
        <f t="shared" si="13"/>
        <v>2.42</v>
      </c>
      <c r="S114" s="83">
        <f t="shared" si="7"/>
        <v>242</v>
      </c>
      <c r="T114" s="81"/>
      <c r="U114" s="81" t="s">
        <v>277</v>
      </c>
      <c r="V114" s="84"/>
    </row>
    <row r="115" customHeight="1" spans="1:22">
      <c r="A115" s="187"/>
      <c r="B115" s="188">
        <v>112</v>
      </c>
      <c r="C115" s="189"/>
      <c r="D115" s="190" t="s">
        <v>173</v>
      </c>
      <c r="E115" s="190" t="s">
        <v>174</v>
      </c>
      <c r="F115" s="192">
        <v>100</v>
      </c>
      <c r="G115" s="192"/>
      <c r="H115" s="193" t="s">
        <v>9</v>
      </c>
      <c r="I115" s="194"/>
      <c r="J115" s="195" t="s">
        <v>288</v>
      </c>
      <c r="K115" s="81">
        <v>5521024</v>
      </c>
      <c r="L115" s="206" t="s">
        <v>275</v>
      </c>
      <c r="M115" s="203" t="s">
        <v>402</v>
      </c>
      <c r="N115" s="196">
        <f t="shared" si="12"/>
        <v>3405</v>
      </c>
      <c r="O115" s="140">
        <v>34.05</v>
      </c>
      <c r="P115" s="81">
        <v>16</v>
      </c>
      <c r="Q115" s="81">
        <v>0.84</v>
      </c>
      <c r="R115" s="83">
        <f t="shared" si="13"/>
        <v>28.602</v>
      </c>
      <c r="S115" s="83">
        <f t="shared" ref="S115:S146" si="14">R115*F115</f>
        <v>2860.2</v>
      </c>
      <c r="T115" s="81"/>
      <c r="U115" s="81" t="s">
        <v>277</v>
      </c>
      <c r="V115" s="84"/>
    </row>
    <row r="116" customHeight="1" spans="1:22">
      <c r="A116" s="187"/>
      <c r="B116" s="188">
        <v>113</v>
      </c>
      <c r="C116" s="189"/>
      <c r="D116" s="201">
        <v>5285501</v>
      </c>
      <c r="E116" s="190" t="s">
        <v>175</v>
      </c>
      <c r="F116" s="191">
        <v>30</v>
      </c>
      <c r="G116" s="192"/>
      <c r="H116" s="193" t="s">
        <v>9</v>
      </c>
      <c r="I116" s="194"/>
      <c r="J116" s="195" t="s">
        <v>403</v>
      </c>
      <c r="K116" s="81" t="s">
        <v>404</v>
      </c>
      <c r="L116" s="206" t="s">
        <v>275</v>
      </c>
      <c r="M116" s="81" t="s">
        <v>405</v>
      </c>
      <c r="N116" s="196">
        <f t="shared" si="12"/>
        <v>370.2</v>
      </c>
      <c r="O116" s="83">
        <v>12.34</v>
      </c>
      <c r="P116" s="202">
        <v>7</v>
      </c>
      <c r="Q116" s="202">
        <v>0.93</v>
      </c>
      <c r="R116" s="222">
        <f t="shared" si="13"/>
        <v>11.4762</v>
      </c>
      <c r="S116" s="83">
        <f t="shared" si="14"/>
        <v>344.286</v>
      </c>
      <c r="T116" s="202" t="s">
        <v>406</v>
      </c>
      <c r="U116" s="81" t="s">
        <v>277</v>
      </c>
      <c r="V116" s="84" t="s">
        <v>329</v>
      </c>
    </row>
    <row r="117" customHeight="1" spans="1:22">
      <c r="A117" s="187"/>
      <c r="B117" s="188">
        <v>114</v>
      </c>
      <c r="C117" s="189"/>
      <c r="D117" s="201">
        <v>5255538</v>
      </c>
      <c r="E117" s="190" t="s">
        <v>176</v>
      </c>
      <c r="F117" s="192">
        <v>100</v>
      </c>
      <c r="G117" s="192"/>
      <c r="H117" s="193" t="s">
        <v>9</v>
      </c>
      <c r="I117" s="194"/>
      <c r="J117" s="195" t="s">
        <v>288</v>
      </c>
      <c r="K117" s="81">
        <v>5255538</v>
      </c>
      <c r="L117" s="206" t="s">
        <v>275</v>
      </c>
      <c r="M117" s="81" t="s">
        <v>407</v>
      </c>
      <c r="N117" s="196">
        <f t="shared" si="12"/>
        <v>1547</v>
      </c>
      <c r="O117" s="83">
        <v>15.47</v>
      </c>
      <c r="P117" s="81">
        <v>15</v>
      </c>
      <c r="Q117" s="184">
        <v>0.85</v>
      </c>
      <c r="R117" s="83">
        <f t="shared" si="13"/>
        <v>13.1495</v>
      </c>
      <c r="S117" s="83">
        <f t="shared" si="14"/>
        <v>1314.95</v>
      </c>
      <c r="T117" s="81"/>
      <c r="U117" s="81" t="s">
        <v>277</v>
      </c>
      <c r="V117" s="84"/>
    </row>
    <row r="118" customHeight="1" spans="1:22">
      <c r="A118" s="187"/>
      <c r="B118" s="188">
        <v>115</v>
      </c>
      <c r="C118" s="189"/>
      <c r="D118" s="201">
        <v>3932475</v>
      </c>
      <c r="E118" s="190" t="s">
        <v>177</v>
      </c>
      <c r="F118" s="192">
        <v>100</v>
      </c>
      <c r="G118" s="192"/>
      <c r="H118" s="193" t="s">
        <v>9</v>
      </c>
      <c r="I118" s="194"/>
      <c r="J118" s="195" t="s">
        <v>288</v>
      </c>
      <c r="K118" s="81">
        <v>3932475</v>
      </c>
      <c r="L118" s="206" t="s">
        <v>275</v>
      </c>
      <c r="M118" s="203" t="s">
        <v>408</v>
      </c>
      <c r="N118" s="196">
        <f t="shared" si="12"/>
        <v>592</v>
      </c>
      <c r="O118" s="140">
        <v>5.92</v>
      </c>
      <c r="P118" s="81">
        <v>15</v>
      </c>
      <c r="Q118" s="184">
        <v>0.85</v>
      </c>
      <c r="R118" s="83">
        <f t="shared" si="13"/>
        <v>5.032</v>
      </c>
      <c r="S118" s="83">
        <f t="shared" si="14"/>
        <v>503.2</v>
      </c>
      <c r="T118" s="81"/>
      <c r="U118" s="81" t="s">
        <v>277</v>
      </c>
      <c r="V118" s="84"/>
    </row>
    <row r="119" customHeight="1" spans="1:22">
      <c r="A119" s="187"/>
      <c r="B119" s="188">
        <v>116</v>
      </c>
      <c r="C119" s="189"/>
      <c r="D119" s="201">
        <v>5255313</v>
      </c>
      <c r="E119" s="190" t="s">
        <v>178</v>
      </c>
      <c r="F119" s="192">
        <v>400</v>
      </c>
      <c r="G119" s="192"/>
      <c r="H119" s="193" t="s">
        <v>9</v>
      </c>
      <c r="I119" s="194"/>
      <c r="J119" s="195" t="s">
        <v>288</v>
      </c>
      <c r="K119" s="81">
        <v>5255313</v>
      </c>
      <c r="L119" s="206" t="s">
        <v>275</v>
      </c>
      <c r="M119" s="203" t="s">
        <v>322</v>
      </c>
      <c r="N119" s="196">
        <f t="shared" si="12"/>
        <v>12044.16</v>
      </c>
      <c r="O119" s="140">
        <v>30.1104</v>
      </c>
      <c r="P119" s="81">
        <v>17</v>
      </c>
      <c r="Q119" s="184">
        <v>0.83</v>
      </c>
      <c r="R119" s="83">
        <f t="shared" ref="R119:R129" si="15">Q119*O119</f>
        <v>24.991632</v>
      </c>
      <c r="S119" s="83">
        <f t="shared" si="14"/>
        <v>9996.6528</v>
      </c>
      <c r="T119" s="81"/>
      <c r="U119" s="81" t="s">
        <v>277</v>
      </c>
      <c r="V119" s="84"/>
    </row>
    <row r="120" customHeight="1" spans="1:22">
      <c r="A120" s="187"/>
      <c r="B120" s="188">
        <v>117</v>
      </c>
      <c r="C120" s="189"/>
      <c r="D120" s="201">
        <v>5259557</v>
      </c>
      <c r="E120" s="190" t="s">
        <v>179</v>
      </c>
      <c r="F120" s="192">
        <v>3</v>
      </c>
      <c r="G120" s="192"/>
      <c r="H120" s="193" t="s">
        <v>9</v>
      </c>
      <c r="I120" s="194"/>
      <c r="J120" s="195" t="s">
        <v>288</v>
      </c>
      <c r="K120" s="81">
        <v>5259557</v>
      </c>
      <c r="L120" s="206" t="s">
        <v>275</v>
      </c>
      <c r="M120" s="203" t="s">
        <v>409</v>
      </c>
      <c r="N120" s="196">
        <f t="shared" si="12"/>
        <v>2137.3794</v>
      </c>
      <c r="O120" s="140">
        <v>712.4598</v>
      </c>
      <c r="P120" s="81">
        <v>23</v>
      </c>
      <c r="Q120" s="81">
        <v>0.77</v>
      </c>
      <c r="R120" s="83">
        <f t="shared" si="15"/>
        <v>548.594046</v>
      </c>
      <c r="S120" s="83">
        <f t="shared" si="14"/>
        <v>1645.782138</v>
      </c>
      <c r="T120" s="81"/>
      <c r="U120" s="81" t="s">
        <v>277</v>
      </c>
      <c r="V120" s="84"/>
    </row>
    <row r="121" customHeight="1" spans="1:22">
      <c r="A121" s="187"/>
      <c r="B121" s="188">
        <v>118</v>
      </c>
      <c r="C121" s="189"/>
      <c r="D121" s="201">
        <v>559170630</v>
      </c>
      <c r="E121" s="190" t="s">
        <v>180</v>
      </c>
      <c r="F121" s="192">
        <v>60</v>
      </c>
      <c r="G121" s="192"/>
      <c r="H121" s="193" t="s">
        <v>78</v>
      </c>
      <c r="I121" s="194"/>
      <c r="J121" s="195" t="s">
        <v>288</v>
      </c>
      <c r="K121" s="81" t="s">
        <v>410</v>
      </c>
      <c r="L121" s="81" t="s">
        <v>291</v>
      </c>
      <c r="M121" s="81" t="s">
        <v>411</v>
      </c>
      <c r="N121" s="196">
        <f t="shared" si="12"/>
        <v>17908.8</v>
      </c>
      <c r="O121" s="83">
        <v>298.48</v>
      </c>
      <c r="P121" s="223">
        <v>24</v>
      </c>
      <c r="Q121" s="81">
        <v>0.76</v>
      </c>
      <c r="R121" s="83">
        <f t="shared" si="15"/>
        <v>226.8448</v>
      </c>
      <c r="S121" s="83">
        <f t="shared" si="14"/>
        <v>13610.688</v>
      </c>
      <c r="T121" s="109" t="s">
        <v>412</v>
      </c>
      <c r="U121" s="81" t="s">
        <v>277</v>
      </c>
      <c r="V121" s="84" t="s">
        <v>329</v>
      </c>
    </row>
    <row r="122" customHeight="1" spans="1:22">
      <c r="A122" s="187"/>
      <c r="B122" s="188">
        <v>119</v>
      </c>
      <c r="C122" s="189"/>
      <c r="D122" s="201">
        <v>3974030</v>
      </c>
      <c r="E122" s="190" t="s">
        <v>181</v>
      </c>
      <c r="F122" s="192">
        <v>20</v>
      </c>
      <c r="G122" s="192"/>
      <c r="H122" s="193" t="s">
        <v>9</v>
      </c>
      <c r="I122" s="194"/>
      <c r="J122" s="195" t="s">
        <v>288</v>
      </c>
      <c r="K122" s="81">
        <v>3974030</v>
      </c>
      <c r="L122" s="206" t="s">
        <v>275</v>
      </c>
      <c r="M122" s="203" t="s">
        <v>413</v>
      </c>
      <c r="N122" s="196">
        <f t="shared" si="12"/>
        <v>1621.494</v>
      </c>
      <c r="O122" s="140">
        <v>81.0747</v>
      </c>
      <c r="P122" s="81">
        <v>23</v>
      </c>
      <c r="Q122" s="81">
        <v>0.77</v>
      </c>
      <c r="R122" s="83">
        <f t="shared" si="15"/>
        <v>62.427519</v>
      </c>
      <c r="S122" s="83">
        <f t="shared" si="14"/>
        <v>1248.55038</v>
      </c>
      <c r="T122" s="81"/>
      <c r="U122" s="81" t="s">
        <v>277</v>
      </c>
      <c r="V122" s="84"/>
    </row>
    <row r="123" customHeight="1" spans="1:22">
      <c r="A123" s="187"/>
      <c r="B123" s="188">
        <v>120</v>
      </c>
      <c r="C123" s="189"/>
      <c r="D123" s="190" t="s">
        <v>182</v>
      </c>
      <c r="E123" s="190" t="s">
        <v>183</v>
      </c>
      <c r="F123" s="192">
        <v>10</v>
      </c>
      <c r="G123" s="192"/>
      <c r="H123" s="193" t="s">
        <v>9</v>
      </c>
      <c r="I123" s="194"/>
      <c r="J123" s="182" t="s">
        <v>305</v>
      </c>
      <c r="K123" s="81" t="s">
        <v>414</v>
      </c>
      <c r="L123" s="206" t="s">
        <v>275</v>
      </c>
      <c r="M123" s="81" t="s">
        <v>415</v>
      </c>
      <c r="N123" s="196">
        <f t="shared" si="12"/>
        <v>850.6</v>
      </c>
      <c r="O123" s="83">
        <v>85.06</v>
      </c>
      <c r="P123" s="81">
        <v>15</v>
      </c>
      <c r="Q123" s="81">
        <v>0.85</v>
      </c>
      <c r="R123" s="83">
        <f t="shared" si="15"/>
        <v>72.301</v>
      </c>
      <c r="S123" s="83">
        <f t="shared" si="14"/>
        <v>723.01</v>
      </c>
      <c r="T123" s="81"/>
      <c r="U123" s="81" t="s">
        <v>277</v>
      </c>
      <c r="V123" s="84"/>
    </row>
    <row r="124" customHeight="1" spans="1:22">
      <c r="A124" s="187"/>
      <c r="B124" s="188">
        <v>121</v>
      </c>
      <c r="C124" s="189"/>
      <c r="D124" s="190" t="s">
        <v>184</v>
      </c>
      <c r="E124" s="190" t="s">
        <v>185</v>
      </c>
      <c r="F124" s="192">
        <v>30</v>
      </c>
      <c r="G124" s="192"/>
      <c r="H124" s="193" t="s">
        <v>9</v>
      </c>
      <c r="I124" s="194"/>
      <c r="J124" s="182" t="s">
        <v>305</v>
      </c>
      <c r="K124" s="81" t="s">
        <v>416</v>
      </c>
      <c r="L124" s="206" t="s">
        <v>275</v>
      </c>
      <c r="M124" s="81" t="s">
        <v>417</v>
      </c>
      <c r="N124" s="196">
        <f t="shared" si="12"/>
        <v>5169.9</v>
      </c>
      <c r="O124" s="83">
        <v>172.33</v>
      </c>
      <c r="P124" s="81">
        <v>17</v>
      </c>
      <c r="Q124" s="81">
        <v>0.83</v>
      </c>
      <c r="R124" s="83">
        <f t="shared" si="15"/>
        <v>143.0339</v>
      </c>
      <c r="S124" s="83">
        <f t="shared" si="14"/>
        <v>4291.017</v>
      </c>
      <c r="T124" s="81"/>
      <c r="U124" s="81" t="s">
        <v>277</v>
      </c>
      <c r="V124" s="84" t="s">
        <v>329</v>
      </c>
    </row>
    <row r="125" customHeight="1" spans="1:22">
      <c r="A125" s="187"/>
      <c r="B125" s="188">
        <v>122</v>
      </c>
      <c r="C125" s="189"/>
      <c r="D125" s="190" t="s">
        <v>186</v>
      </c>
      <c r="E125" s="190" t="s">
        <v>187</v>
      </c>
      <c r="F125" s="192">
        <v>34</v>
      </c>
      <c r="G125" s="192"/>
      <c r="H125" s="193" t="s">
        <v>9</v>
      </c>
      <c r="I125" s="194"/>
      <c r="J125" s="182" t="s">
        <v>305</v>
      </c>
      <c r="K125" s="81" t="s">
        <v>418</v>
      </c>
      <c r="L125" s="81" t="s">
        <v>291</v>
      </c>
      <c r="M125" s="81" t="s">
        <v>419</v>
      </c>
      <c r="N125" s="196">
        <f t="shared" si="12"/>
        <v>2996.42</v>
      </c>
      <c r="O125" s="83">
        <v>88.13</v>
      </c>
      <c r="P125" s="81">
        <v>15</v>
      </c>
      <c r="Q125" s="81">
        <v>0.85</v>
      </c>
      <c r="R125" s="83">
        <f t="shared" si="15"/>
        <v>74.9105</v>
      </c>
      <c r="S125" s="83">
        <f t="shared" si="14"/>
        <v>2546.957</v>
      </c>
      <c r="T125" s="81"/>
      <c r="U125" s="81" t="s">
        <v>277</v>
      </c>
      <c r="V125" s="84" t="s">
        <v>329</v>
      </c>
    </row>
    <row r="126" customHeight="1" spans="1:22">
      <c r="A126" s="187"/>
      <c r="B126" s="188">
        <v>123</v>
      </c>
      <c r="C126" s="189"/>
      <c r="D126" s="201">
        <v>5254598</v>
      </c>
      <c r="E126" s="190" t="s">
        <v>188</v>
      </c>
      <c r="F126" s="192">
        <v>20</v>
      </c>
      <c r="G126" s="192"/>
      <c r="H126" s="193" t="s">
        <v>9</v>
      </c>
      <c r="I126" s="194"/>
      <c r="J126" s="195" t="s">
        <v>288</v>
      </c>
      <c r="K126" s="81">
        <v>5254598</v>
      </c>
      <c r="L126" s="206" t="s">
        <v>275</v>
      </c>
      <c r="M126" s="203" t="s">
        <v>420</v>
      </c>
      <c r="N126" s="196">
        <f t="shared" si="12"/>
        <v>1643.76</v>
      </c>
      <c r="O126" s="140">
        <v>82.188</v>
      </c>
      <c r="P126" s="81">
        <v>23</v>
      </c>
      <c r="Q126" s="81">
        <v>0.77</v>
      </c>
      <c r="R126" s="83">
        <f t="shared" si="15"/>
        <v>63.28476</v>
      </c>
      <c r="S126" s="83">
        <f t="shared" si="14"/>
        <v>1265.6952</v>
      </c>
      <c r="T126" s="81"/>
      <c r="U126" s="81" t="s">
        <v>277</v>
      </c>
      <c r="V126" s="84"/>
    </row>
    <row r="127" customHeight="1" spans="1:22">
      <c r="A127" s="187"/>
      <c r="B127" s="188">
        <v>124</v>
      </c>
      <c r="C127" s="189"/>
      <c r="D127" s="190" t="s">
        <v>189</v>
      </c>
      <c r="E127" s="190" t="s">
        <v>190</v>
      </c>
      <c r="F127" s="192">
        <v>20</v>
      </c>
      <c r="G127" s="192"/>
      <c r="H127" s="193" t="s">
        <v>9</v>
      </c>
      <c r="I127" s="194"/>
      <c r="J127" s="182" t="s">
        <v>305</v>
      </c>
      <c r="K127" s="81" t="s">
        <v>421</v>
      </c>
      <c r="L127" s="206" t="s">
        <v>275</v>
      </c>
      <c r="M127" s="81" t="s">
        <v>422</v>
      </c>
      <c r="N127" s="196">
        <f t="shared" si="12"/>
        <v>1255.2</v>
      </c>
      <c r="O127" s="83">
        <v>62.76</v>
      </c>
      <c r="P127" s="81">
        <v>15</v>
      </c>
      <c r="Q127" s="81">
        <v>0.85</v>
      </c>
      <c r="R127" s="83">
        <f t="shared" si="15"/>
        <v>53.346</v>
      </c>
      <c r="S127" s="83">
        <f t="shared" si="14"/>
        <v>1066.92</v>
      </c>
      <c r="T127" s="81"/>
      <c r="U127" s="81" t="s">
        <v>277</v>
      </c>
      <c r="V127" s="84" t="s">
        <v>329</v>
      </c>
    </row>
    <row r="128" customHeight="1" spans="1:22">
      <c r="A128" s="187"/>
      <c r="B128" s="188">
        <v>125</v>
      </c>
      <c r="C128" s="189"/>
      <c r="D128" s="201">
        <v>5265369</v>
      </c>
      <c r="E128" s="190" t="s">
        <v>191</v>
      </c>
      <c r="F128" s="192">
        <v>5</v>
      </c>
      <c r="G128" s="192"/>
      <c r="H128" s="193" t="s">
        <v>9</v>
      </c>
      <c r="I128" s="194"/>
      <c r="J128" s="195" t="s">
        <v>288</v>
      </c>
      <c r="K128" s="81">
        <v>5265369</v>
      </c>
      <c r="L128" s="206" t="s">
        <v>275</v>
      </c>
      <c r="M128" s="203" t="s">
        <v>420</v>
      </c>
      <c r="N128" s="196">
        <f t="shared" si="12"/>
        <v>603.63</v>
      </c>
      <c r="O128" s="140">
        <v>120.726</v>
      </c>
      <c r="P128" s="81">
        <v>23</v>
      </c>
      <c r="Q128" s="81">
        <v>0.77</v>
      </c>
      <c r="R128" s="83">
        <f t="shared" si="15"/>
        <v>92.95902</v>
      </c>
      <c r="S128" s="83">
        <f t="shared" si="14"/>
        <v>464.7951</v>
      </c>
      <c r="T128" s="81"/>
      <c r="U128" s="81" t="s">
        <v>277</v>
      </c>
      <c r="V128" s="84"/>
    </row>
    <row r="129" customHeight="1" spans="1:22">
      <c r="A129" s="187"/>
      <c r="B129" s="188">
        <v>126</v>
      </c>
      <c r="C129" s="189"/>
      <c r="D129" s="201">
        <v>5254599</v>
      </c>
      <c r="E129" s="190" t="s">
        <v>192</v>
      </c>
      <c r="F129" s="192">
        <v>70</v>
      </c>
      <c r="G129" s="192"/>
      <c r="H129" s="193" t="s">
        <v>9</v>
      </c>
      <c r="I129" s="194"/>
      <c r="J129" s="195" t="s">
        <v>288</v>
      </c>
      <c r="K129" s="81">
        <v>5254599</v>
      </c>
      <c r="L129" s="206" t="s">
        <v>275</v>
      </c>
      <c r="M129" s="203" t="s">
        <v>420</v>
      </c>
      <c r="N129" s="196">
        <f t="shared" si="12"/>
        <v>6540.66</v>
      </c>
      <c r="O129" s="140">
        <v>93.438</v>
      </c>
      <c r="P129" s="81">
        <v>24</v>
      </c>
      <c r="Q129" s="81">
        <v>0.76</v>
      </c>
      <c r="R129" s="83">
        <f t="shared" si="15"/>
        <v>71.01288</v>
      </c>
      <c r="S129" s="83">
        <f t="shared" si="14"/>
        <v>4970.9016</v>
      </c>
      <c r="T129" s="81"/>
      <c r="U129" s="81" t="s">
        <v>277</v>
      </c>
      <c r="V129" s="84"/>
    </row>
    <row r="130" customHeight="1" spans="1:22">
      <c r="A130" s="187"/>
      <c r="B130" s="188">
        <v>127</v>
      </c>
      <c r="C130" s="189"/>
      <c r="D130" s="201">
        <v>5265266</v>
      </c>
      <c r="E130" s="190" t="s">
        <v>193</v>
      </c>
      <c r="F130" s="192">
        <v>120</v>
      </c>
      <c r="G130" s="192"/>
      <c r="H130" s="193" t="s">
        <v>9</v>
      </c>
      <c r="I130" s="194"/>
      <c r="J130" s="195" t="s">
        <v>288</v>
      </c>
      <c r="K130" s="81">
        <v>5265266</v>
      </c>
      <c r="L130" s="206" t="s">
        <v>275</v>
      </c>
      <c r="M130" s="81" t="str">
        <f>VLOOKUP(D130,[1]Sheet1!$B$2:$E$2486,4,FALSE)</f>
        <v>曲轴前油封</v>
      </c>
      <c r="N130" s="196">
        <f t="shared" si="12"/>
        <v>2159.136</v>
      </c>
      <c r="O130" s="83">
        <f>VLOOKUP(D130,[1]Sheet1!$B$2:$F$2486,5,FALSE)</f>
        <v>17.9928</v>
      </c>
      <c r="P130" s="81">
        <v>15</v>
      </c>
      <c r="Q130" s="184">
        <v>0.85</v>
      </c>
      <c r="R130" s="83">
        <f>O130*Q130</f>
        <v>15.29388</v>
      </c>
      <c r="S130" s="83">
        <f t="shared" si="14"/>
        <v>1835.2656</v>
      </c>
      <c r="T130" s="81"/>
      <c r="U130" s="81" t="s">
        <v>277</v>
      </c>
      <c r="V130" s="84"/>
    </row>
    <row r="131" customHeight="1" spans="1:22">
      <c r="A131" s="187"/>
      <c r="B131" s="188">
        <v>128</v>
      </c>
      <c r="C131" s="189"/>
      <c r="D131" s="201">
        <v>5255314</v>
      </c>
      <c r="E131" s="190" t="s">
        <v>194</v>
      </c>
      <c r="F131" s="192">
        <v>280</v>
      </c>
      <c r="G131" s="192"/>
      <c r="H131" s="193" t="s">
        <v>9</v>
      </c>
      <c r="I131" s="194"/>
      <c r="J131" s="195" t="s">
        <v>288</v>
      </c>
      <c r="K131" s="81">
        <v>5255314</v>
      </c>
      <c r="L131" s="206" t="s">
        <v>275</v>
      </c>
      <c r="M131" s="81" t="str">
        <f>VLOOKUP(D131,[1]Sheet1!$B$2:$E$2486,4,FALSE)</f>
        <v>喷油器油封</v>
      </c>
      <c r="N131" s="196">
        <f t="shared" si="12"/>
        <v>2394</v>
      </c>
      <c r="O131" s="83">
        <f>VLOOKUP(D131,[1]Sheet1!$B$2:$F$2486,5,FALSE)</f>
        <v>8.55</v>
      </c>
      <c r="P131" s="81">
        <v>17</v>
      </c>
      <c r="Q131" s="184">
        <v>0.83</v>
      </c>
      <c r="R131" s="83">
        <f>Q131*O131</f>
        <v>7.0965</v>
      </c>
      <c r="S131" s="83">
        <f t="shared" si="14"/>
        <v>1987.02</v>
      </c>
      <c r="T131" s="81"/>
      <c r="U131" s="81" t="s">
        <v>277</v>
      </c>
      <c r="V131" s="84"/>
    </row>
    <row r="132" customHeight="1" spans="1:22">
      <c r="A132" s="187"/>
      <c r="B132" s="188">
        <v>129</v>
      </c>
      <c r="C132" s="189"/>
      <c r="D132" s="201">
        <v>4990818</v>
      </c>
      <c r="E132" s="190" t="s">
        <v>195</v>
      </c>
      <c r="F132" s="192">
        <v>30</v>
      </c>
      <c r="G132" s="192"/>
      <c r="H132" s="193" t="s">
        <v>9</v>
      </c>
      <c r="I132" s="194"/>
      <c r="J132" s="195" t="s">
        <v>288</v>
      </c>
      <c r="K132" s="81">
        <v>4990818</v>
      </c>
      <c r="L132" s="206" t="s">
        <v>275</v>
      </c>
      <c r="M132" s="203" t="s">
        <v>423</v>
      </c>
      <c r="N132" s="196">
        <f t="shared" si="12"/>
        <v>235.2</v>
      </c>
      <c r="O132" s="140">
        <v>7.84</v>
      </c>
      <c r="P132" s="81">
        <v>15</v>
      </c>
      <c r="Q132" s="184">
        <v>0.85</v>
      </c>
      <c r="R132" s="83">
        <f>O132*Q132</f>
        <v>6.664</v>
      </c>
      <c r="S132" s="83">
        <f t="shared" si="14"/>
        <v>199.92</v>
      </c>
      <c r="T132" s="81"/>
      <c r="U132" s="81" t="s">
        <v>277</v>
      </c>
      <c r="V132" s="84"/>
    </row>
    <row r="133" customHeight="1" spans="1:22">
      <c r="A133" s="187"/>
      <c r="B133" s="188">
        <v>130</v>
      </c>
      <c r="C133" s="189"/>
      <c r="D133" s="190" t="s">
        <v>196</v>
      </c>
      <c r="E133" s="190" t="s">
        <v>197</v>
      </c>
      <c r="F133" s="192">
        <v>24</v>
      </c>
      <c r="G133" s="192"/>
      <c r="H133" s="193" t="s">
        <v>9</v>
      </c>
      <c r="I133" s="194"/>
      <c r="J133" s="182" t="s">
        <v>305</v>
      </c>
      <c r="K133" s="81" t="s">
        <v>424</v>
      </c>
      <c r="L133" s="206" t="s">
        <v>275</v>
      </c>
      <c r="M133" s="81" t="s">
        <v>425</v>
      </c>
      <c r="N133" s="196">
        <f t="shared" ref="N133:N171" si="16">O133*F133</f>
        <v>1314.72</v>
      </c>
      <c r="O133" s="83">
        <v>54.78</v>
      </c>
      <c r="P133" s="81">
        <v>15</v>
      </c>
      <c r="Q133" s="81">
        <v>0.85</v>
      </c>
      <c r="R133" s="83">
        <f>Q133*O133</f>
        <v>46.563</v>
      </c>
      <c r="S133" s="83">
        <f t="shared" si="14"/>
        <v>1117.512</v>
      </c>
      <c r="T133" s="81"/>
      <c r="U133" s="81" t="s">
        <v>277</v>
      </c>
      <c r="V133" s="84" t="s">
        <v>329</v>
      </c>
    </row>
    <row r="134" customHeight="1" spans="1:22">
      <c r="A134" s="187"/>
      <c r="B134" s="188">
        <v>131</v>
      </c>
      <c r="C134" s="189"/>
      <c r="D134" s="190" t="s">
        <v>198</v>
      </c>
      <c r="E134" s="190" t="s">
        <v>199</v>
      </c>
      <c r="F134" s="191">
        <v>40</v>
      </c>
      <c r="G134" s="192"/>
      <c r="H134" s="193" t="s">
        <v>9</v>
      </c>
      <c r="I134" s="194"/>
      <c r="J134" s="195" t="s">
        <v>426</v>
      </c>
      <c r="K134" s="81" t="s">
        <v>427</v>
      </c>
      <c r="L134" s="206" t="s">
        <v>275</v>
      </c>
      <c r="M134" s="93" t="s">
        <v>428</v>
      </c>
      <c r="N134" s="196">
        <f t="shared" si="16"/>
        <v>15552</v>
      </c>
      <c r="O134" s="83">
        <v>388.8</v>
      </c>
      <c r="P134" s="81">
        <v>13</v>
      </c>
      <c r="Q134" s="81">
        <v>0.87</v>
      </c>
      <c r="R134" s="83">
        <f>O134*Q134</f>
        <v>338.256</v>
      </c>
      <c r="S134" s="83">
        <f t="shared" si="14"/>
        <v>13530.24</v>
      </c>
      <c r="T134" s="81"/>
      <c r="U134" s="81" t="s">
        <v>277</v>
      </c>
      <c r="V134" s="84" t="s">
        <v>329</v>
      </c>
    </row>
    <row r="135" customHeight="1" spans="1:22">
      <c r="A135" s="187"/>
      <c r="B135" s="188">
        <v>132</v>
      </c>
      <c r="C135" s="189"/>
      <c r="D135" s="190" t="s">
        <v>200</v>
      </c>
      <c r="E135" s="190" t="s">
        <v>201</v>
      </c>
      <c r="F135" s="192">
        <v>4</v>
      </c>
      <c r="G135" s="192"/>
      <c r="H135" s="193" t="s">
        <v>9</v>
      </c>
      <c r="I135" s="194"/>
      <c r="J135" s="182" t="s">
        <v>305</v>
      </c>
      <c r="K135" s="81" t="s">
        <v>429</v>
      </c>
      <c r="L135" s="206" t="s">
        <v>275</v>
      </c>
      <c r="M135" s="81" t="s">
        <v>430</v>
      </c>
      <c r="N135" s="196">
        <f t="shared" si="16"/>
        <v>3027.48</v>
      </c>
      <c r="O135" s="83">
        <v>756.87</v>
      </c>
      <c r="P135" s="81">
        <v>15</v>
      </c>
      <c r="Q135" s="81">
        <v>0.85</v>
      </c>
      <c r="R135" s="83">
        <f>Q135*O135</f>
        <v>643.3395</v>
      </c>
      <c r="S135" s="83">
        <f t="shared" si="14"/>
        <v>2573.358</v>
      </c>
      <c r="T135" s="81"/>
      <c r="U135" s="81" t="s">
        <v>277</v>
      </c>
      <c r="V135" s="84"/>
    </row>
    <row r="136" customHeight="1" spans="1:22">
      <c r="A136" s="187"/>
      <c r="B136" s="188">
        <v>133</v>
      </c>
      <c r="C136" s="189"/>
      <c r="D136" s="190" t="s">
        <v>202</v>
      </c>
      <c r="E136" s="190" t="s">
        <v>203</v>
      </c>
      <c r="F136" s="192">
        <v>3</v>
      </c>
      <c r="G136" s="192"/>
      <c r="H136" s="193" t="s">
        <v>9</v>
      </c>
      <c r="I136" s="194"/>
      <c r="J136" s="195" t="s">
        <v>288</v>
      </c>
      <c r="K136" s="81">
        <v>5263797</v>
      </c>
      <c r="L136" s="206" t="s">
        <v>275</v>
      </c>
      <c r="M136" s="203" t="s">
        <v>431</v>
      </c>
      <c r="N136" s="196">
        <f t="shared" si="16"/>
        <v>2786.589</v>
      </c>
      <c r="O136" s="140">
        <v>928.863</v>
      </c>
      <c r="P136" s="81">
        <v>23</v>
      </c>
      <c r="Q136" s="81">
        <v>0.77</v>
      </c>
      <c r="R136" s="83">
        <f>Q136*O136</f>
        <v>715.22451</v>
      </c>
      <c r="S136" s="83">
        <f t="shared" si="14"/>
        <v>2145.67353</v>
      </c>
      <c r="T136" s="81"/>
      <c r="U136" s="81" t="s">
        <v>277</v>
      </c>
      <c r="V136" s="84"/>
    </row>
    <row r="137" customHeight="1" spans="1:22">
      <c r="A137" s="187"/>
      <c r="B137" s="188">
        <v>134</v>
      </c>
      <c r="C137" s="189"/>
      <c r="D137" s="190" t="s">
        <v>204</v>
      </c>
      <c r="E137" s="190" t="s">
        <v>205</v>
      </c>
      <c r="F137" s="192">
        <v>10</v>
      </c>
      <c r="G137" s="192"/>
      <c r="H137" s="193" t="s">
        <v>9</v>
      </c>
      <c r="I137" s="194"/>
      <c r="J137" s="195" t="s">
        <v>288</v>
      </c>
      <c r="K137" s="81">
        <v>5363153</v>
      </c>
      <c r="L137" s="206" t="s">
        <v>275</v>
      </c>
      <c r="M137" s="203" t="s">
        <v>431</v>
      </c>
      <c r="N137" s="196">
        <f t="shared" si="16"/>
        <v>6592.005</v>
      </c>
      <c r="O137" s="140">
        <v>659.2005</v>
      </c>
      <c r="P137" s="81">
        <v>23</v>
      </c>
      <c r="Q137" s="81">
        <v>0.77</v>
      </c>
      <c r="R137" s="83">
        <f>Q137*O137</f>
        <v>507.584385</v>
      </c>
      <c r="S137" s="83">
        <f t="shared" si="14"/>
        <v>5075.84385</v>
      </c>
      <c r="T137" s="81"/>
      <c r="U137" s="81" t="s">
        <v>277</v>
      </c>
      <c r="V137" s="84"/>
    </row>
    <row r="138" customHeight="1" spans="1:22">
      <c r="A138" s="187"/>
      <c r="B138" s="188">
        <v>135</v>
      </c>
      <c r="C138" s="189"/>
      <c r="D138" s="190" t="s">
        <v>206</v>
      </c>
      <c r="E138" s="190" t="s">
        <v>207</v>
      </c>
      <c r="F138" s="192">
        <v>10</v>
      </c>
      <c r="G138" s="192"/>
      <c r="H138" s="193" t="s">
        <v>9</v>
      </c>
      <c r="I138" s="194"/>
      <c r="J138" s="195" t="s">
        <v>288</v>
      </c>
      <c r="K138" s="81">
        <v>4929642</v>
      </c>
      <c r="L138" s="206" t="s">
        <v>275</v>
      </c>
      <c r="M138" s="203" t="s">
        <v>432</v>
      </c>
      <c r="N138" s="196">
        <f t="shared" si="16"/>
        <v>365.5</v>
      </c>
      <c r="O138" s="140">
        <v>36.55</v>
      </c>
      <c r="P138" s="81">
        <v>15</v>
      </c>
      <c r="Q138" s="184">
        <v>0.85</v>
      </c>
      <c r="R138" s="83">
        <f>O138*Q138</f>
        <v>31.0675</v>
      </c>
      <c r="S138" s="83">
        <f t="shared" si="14"/>
        <v>310.675</v>
      </c>
      <c r="T138" s="81"/>
      <c r="U138" s="81" t="s">
        <v>277</v>
      </c>
      <c r="V138" s="84"/>
    </row>
    <row r="139" customHeight="1" spans="1:22">
      <c r="A139" s="187"/>
      <c r="B139" s="188">
        <v>136</v>
      </c>
      <c r="C139" s="189"/>
      <c r="D139" s="190" t="s">
        <v>208</v>
      </c>
      <c r="E139" s="190" t="s">
        <v>209</v>
      </c>
      <c r="F139" s="192">
        <v>50</v>
      </c>
      <c r="G139" s="192"/>
      <c r="H139" s="193" t="s">
        <v>9</v>
      </c>
      <c r="I139" s="194"/>
      <c r="J139" s="195" t="s">
        <v>288</v>
      </c>
      <c r="K139" s="81">
        <v>5257076</v>
      </c>
      <c r="L139" s="206" t="s">
        <v>275</v>
      </c>
      <c r="M139" s="203" t="s">
        <v>432</v>
      </c>
      <c r="N139" s="196">
        <f t="shared" si="16"/>
        <v>2368.44</v>
      </c>
      <c r="O139" s="140">
        <v>47.3688</v>
      </c>
      <c r="P139" s="81">
        <v>15</v>
      </c>
      <c r="Q139" s="184">
        <v>0.85</v>
      </c>
      <c r="R139" s="83">
        <f>O139*Q139</f>
        <v>40.26348</v>
      </c>
      <c r="S139" s="83">
        <f t="shared" si="14"/>
        <v>2013.174</v>
      </c>
      <c r="T139" s="81"/>
      <c r="U139" s="81" t="s">
        <v>277</v>
      </c>
      <c r="V139" s="84"/>
    </row>
    <row r="140" customHeight="1" spans="1:22">
      <c r="A140" s="187"/>
      <c r="B140" s="188">
        <v>137</v>
      </c>
      <c r="C140" s="189"/>
      <c r="D140" s="201">
        <v>5261340</v>
      </c>
      <c r="E140" s="190" t="s">
        <v>210</v>
      </c>
      <c r="F140" s="192">
        <v>150</v>
      </c>
      <c r="G140" s="192"/>
      <c r="H140" s="193" t="s">
        <v>9</v>
      </c>
      <c r="I140" s="194"/>
      <c r="J140" s="195" t="s">
        <v>288</v>
      </c>
      <c r="K140" s="81">
        <v>5261340</v>
      </c>
      <c r="L140" s="206" t="s">
        <v>275</v>
      </c>
      <c r="M140" s="81" t="str">
        <f>VLOOKUP(D140,[1]Sheet1!$B$2:$E$2486,4,FALSE)</f>
        <v>气门摇臂桥</v>
      </c>
      <c r="N140" s="196">
        <f t="shared" si="16"/>
        <v>1488</v>
      </c>
      <c r="O140" s="83">
        <f>VLOOKUP(D140,[1]Sheet1!$B$2:$F$2486,5,FALSE)</f>
        <v>9.92</v>
      </c>
      <c r="P140" s="81">
        <v>17</v>
      </c>
      <c r="Q140" s="184">
        <v>0.83</v>
      </c>
      <c r="R140" s="83">
        <f>Q140*O140</f>
        <v>8.2336</v>
      </c>
      <c r="S140" s="83">
        <f t="shared" si="14"/>
        <v>1235.04</v>
      </c>
      <c r="T140" s="81"/>
      <c r="U140" s="81" t="s">
        <v>277</v>
      </c>
      <c r="V140" s="84"/>
    </row>
    <row r="141" customHeight="1" spans="1:22">
      <c r="A141" s="187"/>
      <c r="B141" s="188">
        <v>138</v>
      </c>
      <c r="C141" s="189"/>
      <c r="D141" s="190" t="s">
        <v>211</v>
      </c>
      <c r="E141" s="190" t="s">
        <v>212</v>
      </c>
      <c r="F141" s="192">
        <v>80</v>
      </c>
      <c r="G141" s="192"/>
      <c r="H141" s="193" t="s">
        <v>9</v>
      </c>
      <c r="I141" s="194"/>
      <c r="J141" s="195" t="s">
        <v>288</v>
      </c>
      <c r="K141" s="81">
        <v>5340176</v>
      </c>
      <c r="L141" s="206" t="s">
        <v>275</v>
      </c>
      <c r="M141" s="203" t="s">
        <v>433</v>
      </c>
      <c r="N141" s="196">
        <f t="shared" si="16"/>
        <v>4307.256</v>
      </c>
      <c r="O141" s="140">
        <v>53.8407</v>
      </c>
      <c r="P141" s="81">
        <v>24</v>
      </c>
      <c r="Q141" s="81">
        <v>0.76</v>
      </c>
      <c r="R141" s="83">
        <f>Q141*O141</f>
        <v>40.918932</v>
      </c>
      <c r="S141" s="83">
        <f t="shared" si="14"/>
        <v>3273.51456</v>
      </c>
      <c r="T141" s="81"/>
      <c r="U141" s="81" t="s">
        <v>277</v>
      </c>
      <c r="V141" s="84"/>
    </row>
    <row r="142" customHeight="1" spans="1:22">
      <c r="A142" s="187"/>
      <c r="B142" s="188">
        <v>139</v>
      </c>
      <c r="C142" s="189"/>
      <c r="D142" s="201">
        <v>5342941</v>
      </c>
      <c r="E142" s="190" t="s">
        <v>213</v>
      </c>
      <c r="F142" s="192">
        <v>25</v>
      </c>
      <c r="G142" s="192"/>
      <c r="H142" s="193" t="s">
        <v>9</v>
      </c>
      <c r="I142" s="194"/>
      <c r="J142" s="195" t="s">
        <v>288</v>
      </c>
      <c r="K142" s="81">
        <v>5342941</v>
      </c>
      <c r="L142" s="206" t="s">
        <v>275</v>
      </c>
      <c r="M142" s="81" t="str">
        <f>VLOOKUP(D142,[1]Sheet1!$B$2:$E$2486,4,FALSE)</f>
        <v>增压器回油管</v>
      </c>
      <c r="N142" s="196">
        <f t="shared" si="16"/>
        <v>2053.5</v>
      </c>
      <c r="O142" s="83">
        <f>VLOOKUP(D142,[1]Sheet1!$B$2:$F$2486,5,FALSE)</f>
        <v>82.14</v>
      </c>
      <c r="P142" s="81">
        <v>23</v>
      </c>
      <c r="Q142" s="81">
        <v>0.77</v>
      </c>
      <c r="R142" s="83">
        <f>Q142*O142</f>
        <v>63.2478</v>
      </c>
      <c r="S142" s="83">
        <f t="shared" si="14"/>
        <v>1581.195</v>
      </c>
      <c r="T142" s="81"/>
      <c r="U142" s="81" t="s">
        <v>277</v>
      </c>
      <c r="V142" s="84"/>
    </row>
    <row r="143" customHeight="1" spans="1:22">
      <c r="A143" s="187"/>
      <c r="B143" s="188">
        <v>140</v>
      </c>
      <c r="C143" s="189"/>
      <c r="D143" s="201">
        <v>4983279</v>
      </c>
      <c r="E143" s="190" t="s">
        <v>214</v>
      </c>
      <c r="F143" s="192">
        <v>20</v>
      </c>
      <c r="G143" s="192"/>
      <c r="H143" s="193" t="s">
        <v>9</v>
      </c>
      <c r="I143" s="194"/>
      <c r="J143" s="195" t="s">
        <v>288</v>
      </c>
      <c r="K143" s="81">
        <v>4983279</v>
      </c>
      <c r="L143" s="206" t="s">
        <v>275</v>
      </c>
      <c r="M143" s="81" t="str">
        <f>VLOOKUP(D143,[1]Sheet1!$B$2:$E$2486,4,FALSE)</f>
        <v>机油输油连接件</v>
      </c>
      <c r="N143" s="196">
        <f t="shared" si="16"/>
        <v>763.6</v>
      </c>
      <c r="O143" s="83">
        <f>VLOOKUP(D143,[1]Sheet1!$B$2:$F$2486,5,FALSE)</f>
        <v>38.18</v>
      </c>
      <c r="P143" s="81">
        <v>15</v>
      </c>
      <c r="Q143" s="184">
        <v>0.85</v>
      </c>
      <c r="R143" s="83">
        <f>O143*Q143</f>
        <v>32.453</v>
      </c>
      <c r="S143" s="83">
        <f t="shared" si="14"/>
        <v>649.06</v>
      </c>
      <c r="T143" s="81"/>
      <c r="U143" s="81" t="s">
        <v>277</v>
      </c>
      <c r="V143" s="84"/>
    </row>
    <row r="144" customHeight="1" spans="1:22">
      <c r="A144" s="187"/>
      <c r="B144" s="188">
        <v>141</v>
      </c>
      <c r="C144" s="189"/>
      <c r="D144" s="190" t="s">
        <v>215</v>
      </c>
      <c r="E144" s="190" t="s">
        <v>216</v>
      </c>
      <c r="F144" s="192">
        <v>10</v>
      </c>
      <c r="G144" s="192"/>
      <c r="H144" s="193" t="s">
        <v>9</v>
      </c>
      <c r="I144" s="194"/>
      <c r="J144" s="195" t="s">
        <v>288</v>
      </c>
      <c r="K144" s="81">
        <v>5301534</v>
      </c>
      <c r="L144" s="206" t="s">
        <v>275</v>
      </c>
      <c r="M144" s="203" t="s">
        <v>434</v>
      </c>
      <c r="N144" s="196">
        <f t="shared" si="16"/>
        <v>2331.72</v>
      </c>
      <c r="O144" s="140">
        <v>233.172</v>
      </c>
      <c r="P144" s="81">
        <v>23</v>
      </c>
      <c r="Q144" s="81">
        <v>0.77</v>
      </c>
      <c r="R144" s="83">
        <f>Q144*O144</f>
        <v>179.54244</v>
      </c>
      <c r="S144" s="83">
        <f t="shared" si="14"/>
        <v>1795.4244</v>
      </c>
      <c r="T144" s="81"/>
      <c r="U144" s="81" t="s">
        <v>277</v>
      </c>
      <c r="V144" s="84"/>
    </row>
    <row r="145" customHeight="1" spans="1:22">
      <c r="A145" s="187"/>
      <c r="B145" s="188">
        <v>142</v>
      </c>
      <c r="C145" s="189"/>
      <c r="D145" s="190" t="s">
        <v>217</v>
      </c>
      <c r="E145" s="190" t="s">
        <v>218</v>
      </c>
      <c r="F145" s="192">
        <v>20</v>
      </c>
      <c r="G145" s="192"/>
      <c r="H145" s="193" t="s">
        <v>9</v>
      </c>
      <c r="I145" s="194"/>
      <c r="J145" s="195" t="s">
        <v>288</v>
      </c>
      <c r="K145" s="81">
        <v>5301534</v>
      </c>
      <c r="L145" s="206" t="s">
        <v>275</v>
      </c>
      <c r="M145" s="203" t="s">
        <v>434</v>
      </c>
      <c r="N145" s="196">
        <f t="shared" si="16"/>
        <v>4663.44</v>
      </c>
      <c r="O145" s="140">
        <v>233.172</v>
      </c>
      <c r="P145" s="81">
        <v>23</v>
      </c>
      <c r="Q145" s="81">
        <v>0.77</v>
      </c>
      <c r="R145" s="83">
        <f>Q145*O145</f>
        <v>179.54244</v>
      </c>
      <c r="S145" s="83">
        <f t="shared" si="14"/>
        <v>3590.8488</v>
      </c>
      <c r="T145" s="81" t="s">
        <v>435</v>
      </c>
      <c r="U145" s="81" t="s">
        <v>277</v>
      </c>
      <c r="V145" s="84" t="s">
        <v>329</v>
      </c>
    </row>
    <row r="146" customHeight="1" spans="1:22">
      <c r="A146" s="187"/>
      <c r="B146" s="188">
        <v>143</v>
      </c>
      <c r="C146" s="189"/>
      <c r="D146" s="201">
        <v>5321114</v>
      </c>
      <c r="E146" s="190" t="s">
        <v>219</v>
      </c>
      <c r="F146" s="192">
        <v>60</v>
      </c>
      <c r="G146" s="192"/>
      <c r="H146" s="193" t="s">
        <v>9</v>
      </c>
      <c r="I146" s="194"/>
      <c r="J146" s="195" t="s">
        <v>288</v>
      </c>
      <c r="K146" s="81">
        <v>5321114</v>
      </c>
      <c r="L146" s="206" t="s">
        <v>275</v>
      </c>
      <c r="M146" s="81" t="str">
        <f>VLOOKUP(D146,[1]Sheet1!$B$2:$E$2486,4,FALSE)</f>
        <v>燃油供油管</v>
      </c>
      <c r="N146" s="196">
        <f t="shared" si="16"/>
        <v>4715.4</v>
      </c>
      <c r="O146" s="83">
        <f>VLOOKUP(D146,[1]Sheet1!$B$2:$F$2486,5,FALSE)</f>
        <v>78.59</v>
      </c>
      <c r="P146" s="81">
        <v>24</v>
      </c>
      <c r="Q146" s="81">
        <v>0.76</v>
      </c>
      <c r="R146" s="83">
        <f>Q146*O146</f>
        <v>59.7284</v>
      </c>
      <c r="S146" s="83">
        <f t="shared" si="14"/>
        <v>3583.704</v>
      </c>
      <c r="T146" s="81"/>
      <c r="U146" s="81" t="s">
        <v>277</v>
      </c>
      <c r="V146" s="84"/>
    </row>
    <row r="147" customHeight="1" spans="1:22">
      <c r="A147" s="187"/>
      <c r="B147" s="188">
        <v>144</v>
      </c>
      <c r="C147" s="189"/>
      <c r="D147" s="190" t="s">
        <v>220</v>
      </c>
      <c r="E147" s="190" t="s">
        <v>221</v>
      </c>
      <c r="F147" s="191">
        <v>4</v>
      </c>
      <c r="G147" s="192"/>
      <c r="H147" s="193" t="s">
        <v>9</v>
      </c>
      <c r="I147" s="194"/>
      <c r="J147" s="195" t="s">
        <v>436</v>
      </c>
      <c r="K147" s="81" t="s">
        <v>437</v>
      </c>
      <c r="L147" s="206" t="s">
        <v>275</v>
      </c>
      <c r="M147" s="81" t="s">
        <v>438</v>
      </c>
      <c r="N147" s="224" t="s">
        <v>333</v>
      </c>
      <c r="O147" s="225" t="s">
        <v>333</v>
      </c>
      <c r="P147" s="81" t="s">
        <v>333</v>
      </c>
      <c r="Q147" s="81" t="s">
        <v>333</v>
      </c>
      <c r="R147" s="83">
        <v>0</v>
      </c>
      <c r="S147" s="83">
        <v>0</v>
      </c>
      <c r="T147" s="202" t="s">
        <v>436</v>
      </c>
      <c r="U147" s="81" t="s">
        <v>277</v>
      </c>
      <c r="V147" s="84" t="s">
        <v>329</v>
      </c>
    </row>
    <row r="148" customHeight="1" spans="1:22">
      <c r="A148" s="187"/>
      <c r="B148" s="188">
        <v>145</v>
      </c>
      <c r="C148" s="189"/>
      <c r="D148" s="190" t="s">
        <v>222</v>
      </c>
      <c r="E148" s="190" t="s">
        <v>223</v>
      </c>
      <c r="F148" s="192">
        <v>7</v>
      </c>
      <c r="G148" s="192"/>
      <c r="H148" s="193" t="s">
        <v>9</v>
      </c>
      <c r="I148" s="194"/>
      <c r="J148" s="182" t="s">
        <v>305</v>
      </c>
      <c r="K148" s="81" t="s">
        <v>439</v>
      </c>
      <c r="L148" s="206" t="s">
        <v>275</v>
      </c>
      <c r="M148" s="81" t="s">
        <v>438</v>
      </c>
      <c r="N148" s="196">
        <f t="shared" si="16"/>
        <v>10788.68</v>
      </c>
      <c r="O148" s="83">
        <v>1541.24</v>
      </c>
      <c r="P148" s="81">
        <v>15</v>
      </c>
      <c r="Q148" s="81">
        <v>0.85</v>
      </c>
      <c r="R148" s="83">
        <f t="shared" ref="R148:R154" si="17">Q148*O148</f>
        <v>1310.054</v>
      </c>
      <c r="S148" s="83">
        <f t="shared" ref="S148:S158" si="18">R148*F148</f>
        <v>9170.378</v>
      </c>
      <c r="T148" s="81"/>
      <c r="U148" s="81" t="s">
        <v>277</v>
      </c>
      <c r="V148" s="84" t="s">
        <v>329</v>
      </c>
    </row>
    <row r="149" customHeight="1" spans="1:22">
      <c r="A149" s="187"/>
      <c r="B149" s="188">
        <v>146</v>
      </c>
      <c r="C149" s="189"/>
      <c r="D149" s="200" t="s">
        <v>224</v>
      </c>
      <c r="E149" s="190" t="s">
        <v>225</v>
      </c>
      <c r="F149" s="192">
        <v>4</v>
      </c>
      <c r="G149" s="192"/>
      <c r="H149" s="193" t="s">
        <v>9</v>
      </c>
      <c r="I149" s="194"/>
      <c r="J149" s="182" t="s">
        <v>440</v>
      </c>
      <c r="K149" s="81">
        <v>3796175</v>
      </c>
      <c r="L149" s="206" t="s">
        <v>275</v>
      </c>
      <c r="M149" s="203" t="s">
        <v>441</v>
      </c>
      <c r="N149" s="196">
        <f t="shared" si="16"/>
        <v>6741.96</v>
      </c>
      <c r="O149" s="140">
        <v>1685.49</v>
      </c>
      <c r="P149" s="81">
        <v>24</v>
      </c>
      <c r="Q149" s="81">
        <v>0.76</v>
      </c>
      <c r="R149" s="83">
        <f t="shared" si="17"/>
        <v>1280.9724</v>
      </c>
      <c r="S149" s="83">
        <f t="shared" si="18"/>
        <v>5123.8896</v>
      </c>
      <c r="T149" s="81"/>
      <c r="U149" s="81" t="s">
        <v>277</v>
      </c>
      <c r="V149" s="84" t="s">
        <v>329</v>
      </c>
    </row>
    <row r="150" customHeight="1" spans="1:22">
      <c r="A150" s="187"/>
      <c r="B150" s="188">
        <v>147</v>
      </c>
      <c r="C150" s="189"/>
      <c r="D150" s="190" t="s">
        <v>226</v>
      </c>
      <c r="E150" s="190" t="s">
        <v>227</v>
      </c>
      <c r="F150" s="192">
        <v>4</v>
      </c>
      <c r="G150" s="192"/>
      <c r="H150" s="193" t="s">
        <v>9</v>
      </c>
      <c r="I150" s="194"/>
      <c r="J150" s="182" t="s">
        <v>440</v>
      </c>
      <c r="K150" s="81">
        <v>3773122</v>
      </c>
      <c r="L150" s="206" t="s">
        <v>275</v>
      </c>
      <c r="M150" s="203" t="s">
        <v>441</v>
      </c>
      <c r="N150" s="196">
        <f t="shared" si="16"/>
        <v>7848.8</v>
      </c>
      <c r="O150" s="140">
        <v>1962.2</v>
      </c>
      <c r="P150" s="81">
        <v>24</v>
      </c>
      <c r="Q150" s="81">
        <v>0.76</v>
      </c>
      <c r="R150" s="83">
        <f t="shared" si="17"/>
        <v>1491.272</v>
      </c>
      <c r="S150" s="83">
        <f t="shared" si="18"/>
        <v>5965.088</v>
      </c>
      <c r="T150" s="81"/>
      <c r="U150" s="81" t="s">
        <v>277</v>
      </c>
      <c r="V150" s="84" t="s">
        <v>329</v>
      </c>
    </row>
    <row r="151" customHeight="1" spans="1:22">
      <c r="A151" s="187"/>
      <c r="B151" s="188">
        <v>148</v>
      </c>
      <c r="C151" s="189"/>
      <c r="D151" s="201">
        <v>3790137</v>
      </c>
      <c r="E151" s="190" t="s">
        <v>228</v>
      </c>
      <c r="F151" s="192">
        <v>30</v>
      </c>
      <c r="G151" s="192"/>
      <c r="H151" s="193" t="s">
        <v>9</v>
      </c>
      <c r="I151" s="194"/>
      <c r="J151" s="182" t="s">
        <v>440</v>
      </c>
      <c r="K151" s="81">
        <v>3790138</v>
      </c>
      <c r="L151" s="206" t="s">
        <v>275</v>
      </c>
      <c r="M151" s="93" t="s">
        <v>442</v>
      </c>
      <c r="N151" s="196">
        <f t="shared" si="16"/>
        <v>48283.2</v>
      </c>
      <c r="O151" s="83">
        <v>1609.44</v>
      </c>
      <c r="P151" s="81">
        <v>25.5</v>
      </c>
      <c r="Q151" s="81">
        <v>0.745</v>
      </c>
      <c r="R151" s="83">
        <f t="shared" si="17"/>
        <v>1199.0328</v>
      </c>
      <c r="S151" s="83">
        <f t="shared" si="18"/>
        <v>35970.984</v>
      </c>
      <c r="T151" s="81"/>
      <c r="U151" s="81" t="s">
        <v>277</v>
      </c>
      <c r="V151" s="84" t="s">
        <v>329</v>
      </c>
    </row>
    <row r="152" customHeight="1" spans="1:22">
      <c r="A152" s="187"/>
      <c r="B152" s="188">
        <v>149</v>
      </c>
      <c r="C152" s="189"/>
      <c r="D152" s="190" t="s">
        <v>229</v>
      </c>
      <c r="E152" s="190" t="s">
        <v>230</v>
      </c>
      <c r="F152" s="192">
        <v>10</v>
      </c>
      <c r="G152" s="192"/>
      <c r="H152" s="193" t="s">
        <v>9</v>
      </c>
      <c r="I152" s="194"/>
      <c r="J152" s="182" t="s">
        <v>440</v>
      </c>
      <c r="K152" s="81">
        <v>5350920</v>
      </c>
      <c r="L152" s="206" t="s">
        <v>275</v>
      </c>
      <c r="M152" s="226" t="s">
        <v>442</v>
      </c>
      <c r="N152" s="196">
        <f t="shared" si="16"/>
        <v>19324.3</v>
      </c>
      <c r="O152" s="140">
        <v>1932.43</v>
      </c>
      <c r="P152" s="81">
        <v>25.5</v>
      </c>
      <c r="Q152" s="81">
        <v>0.745</v>
      </c>
      <c r="R152" s="83">
        <f t="shared" si="17"/>
        <v>1439.66035</v>
      </c>
      <c r="S152" s="83">
        <f t="shared" si="18"/>
        <v>14396.6035</v>
      </c>
      <c r="T152" s="81"/>
      <c r="U152" s="81" t="s">
        <v>277</v>
      </c>
      <c r="V152" s="84" t="s">
        <v>329</v>
      </c>
    </row>
    <row r="153" customHeight="1" spans="1:22">
      <c r="A153" s="187"/>
      <c r="B153" s="188">
        <v>150</v>
      </c>
      <c r="C153" s="189"/>
      <c r="D153" s="204">
        <v>5370734</v>
      </c>
      <c r="E153" s="190" t="s">
        <v>231</v>
      </c>
      <c r="F153" s="192">
        <v>2</v>
      </c>
      <c r="G153" s="192"/>
      <c r="H153" s="193" t="s">
        <v>9</v>
      </c>
      <c r="I153" s="194"/>
      <c r="J153" s="182" t="s">
        <v>440</v>
      </c>
      <c r="K153" s="81">
        <v>5370734</v>
      </c>
      <c r="L153" s="206" t="s">
        <v>275</v>
      </c>
      <c r="M153" s="81" t="str">
        <f>VLOOKUP(D153,[1]Sheet1!$B$2:$E$2486,4,FALSE)</f>
        <v>增压器</v>
      </c>
      <c r="N153" s="196">
        <f t="shared" si="16"/>
        <v>11048.26</v>
      </c>
      <c r="O153" s="83">
        <f>VLOOKUP(D153,[1]Sheet1!$B$2:$F$2486,5,FALSE)</f>
        <v>5524.13</v>
      </c>
      <c r="P153" s="81">
        <v>24</v>
      </c>
      <c r="Q153" s="81">
        <v>0.76</v>
      </c>
      <c r="R153" s="83">
        <f t="shared" si="17"/>
        <v>4198.3388</v>
      </c>
      <c r="S153" s="83">
        <f t="shared" si="18"/>
        <v>8396.6776</v>
      </c>
      <c r="T153" s="81"/>
      <c r="U153" s="81" t="s">
        <v>277</v>
      </c>
      <c r="V153" s="84" t="s">
        <v>329</v>
      </c>
    </row>
    <row r="154" customHeight="1" spans="1:22">
      <c r="A154" s="187"/>
      <c r="B154" s="188">
        <v>151</v>
      </c>
      <c r="C154" s="189"/>
      <c r="D154" s="190" t="s">
        <v>232</v>
      </c>
      <c r="E154" s="190" t="s">
        <v>233</v>
      </c>
      <c r="F154" s="192">
        <v>150</v>
      </c>
      <c r="G154" s="192"/>
      <c r="H154" s="193" t="s">
        <v>9</v>
      </c>
      <c r="I154" s="194"/>
      <c r="J154" s="182" t="s">
        <v>305</v>
      </c>
      <c r="K154" s="81" t="s">
        <v>443</v>
      </c>
      <c r="L154" s="206" t="s">
        <v>275</v>
      </c>
      <c r="M154" s="81" t="s">
        <v>444</v>
      </c>
      <c r="N154" s="196">
        <f t="shared" si="16"/>
        <v>3618</v>
      </c>
      <c r="O154" s="83">
        <v>24.12</v>
      </c>
      <c r="P154" s="81">
        <v>15</v>
      </c>
      <c r="Q154" s="81">
        <v>0.85</v>
      </c>
      <c r="R154" s="83">
        <f t="shared" si="17"/>
        <v>20.502</v>
      </c>
      <c r="S154" s="83">
        <f t="shared" si="18"/>
        <v>3075.3</v>
      </c>
      <c r="T154" s="81"/>
      <c r="U154" s="81" t="s">
        <v>277</v>
      </c>
      <c r="V154" s="84"/>
    </row>
    <row r="155" customHeight="1" spans="1:22">
      <c r="A155" s="187"/>
      <c r="B155" s="188">
        <v>152</v>
      </c>
      <c r="C155" s="189"/>
      <c r="D155" s="190" t="s">
        <v>234</v>
      </c>
      <c r="E155" s="190" t="s">
        <v>235</v>
      </c>
      <c r="F155" s="191">
        <v>36</v>
      </c>
      <c r="G155" s="192"/>
      <c r="H155" s="193" t="s">
        <v>9</v>
      </c>
      <c r="I155" s="194"/>
      <c r="J155" s="195" t="s">
        <v>426</v>
      </c>
      <c r="K155" s="81" t="s">
        <v>445</v>
      </c>
      <c r="L155" s="206" t="s">
        <v>275</v>
      </c>
      <c r="M155" s="109" t="s">
        <v>446</v>
      </c>
      <c r="N155" s="198">
        <f t="shared" si="16"/>
        <v>2376</v>
      </c>
      <c r="O155" s="199">
        <v>66</v>
      </c>
      <c r="P155" s="109">
        <v>13</v>
      </c>
      <c r="Q155" s="109">
        <v>0.87</v>
      </c>
      <c r="R155" s="199">
        <v>46.5</v>
      </c>
      <c r="S155" s="199">
        <f t="shared" si="18"/>
        <v>1674</v>
      </c>
      <c r="T155" s="227" t="s">
        <v>447</v>
      </c>
      <c r="U155" s="81" t="s">
        <v>277</v>
      </c>
      <c r="V155" s="84" t="s">
        <v>329</v>
      </c>
    </row>
    <row r="156" customHeight="1" spans="1:22">
      <c r="A156" s="187"/>
      <c r="B156" s="188">
        <v>153</v>
      </c>
      <c r="C156" s="189"/>
      <c r="D156" s="190" t="s">
        <v>236</v>
      </c>
      <c r="E156" s="190" t="s">
        <v>237</v>
      </c>
      <c r="F156" s="191">
        <v>924</v>
      </c>
      <c r="G156" s="192"/>
      <c r="H156" s="193" t="s">
        <v>9</v>
      </c>
      <c r="I156" s="194"/>
      <c r="J156" s="195" t="s">
        <v>448</v>
      </c>
      <c r="K156" s="81" t="s">
        <v>449</v>
      </c>
      <c r="L156" s="206" t="s">
        <v>275</v>
      </c>
      <c r="M156" s="81" t="s">
        <v>450</v>
      </c>
      <c r="N156" s="196">
        <f t="shared" si="16"/>
        <v>42504</v>
      </c>
      <c r="O156" s="83">
        <v>46</v>
      </c>
      <c r="P156" s="93" t="s">
        <v>294</v>
      </c>
      <c r="Q156" s="93">
        <v>1</v>
      </c>
      <c r="R156" s="228">
        <v>46</v>
      </c>
      <c r="S156" s="83">
        <f t="shared" si="18"/>
        <v>42504</v>
      </c>
      <c r="T156" s="93" t="s">
        <v>451</v>
      </c>
      <c r="U156" s="81" t="s">
        <v>277</v>
      </c>
      <c r="V156" s="84" t="s">
        <v>329</v>
      </c>
    </row>
    <row r="157" customHeight="1" spans="1:22">
      <c r="A157" s="187"/>
      <c r="B157" s="188">
        <v>154</v>
      </c>
      <c r="C157" s="189"/>
      <c r="D157" s="190" t="s">
        <v>238</v>
      </c>
      <c r="E157" s="190" t="s">
        <v>239</v>
      </c>
      <c r="F157" s="191">
        <v>150</v>
      </c>
      <c r="G157" s="192"/>
      <c r="H157" s="193" t="s">
        <v>9</v>
      </c>
      <c r="I157" s="194"/>
      <c r="J157" s="195" t="s">
        <v>452</v>
      </c>
      <c r="K157" s="81" t="s">
        <v>453</v>
      </c>
      <c r="L157" s="206" t="s">
        <v>275</v>
      </c>
      <c r="M157" s="81" t="s">
        <v>454</v>
      </c>
      <c r="N157" s="196">
        <f t="shared" si="16"/>
        <v>18087</v>
      </c>
      <c r="O157" s="83">
        <v>120.58</v>
      </c>
      <c r="P157" s="81">
        <v>19</v>
      </c>
      <c r="Q157" s="81">
        <v>0.81</v>
      </c>
      <c r="R157" s="83">
        <f>O157*Q157</f>
        <v>97.6698</v>
      </c>
      <c r="S157" s="83">
        <f t="shared" si="18"/>
        <v>14650.47</v>
      </c>
      <c r="T157" s="81"/>
      <c r="U157" s="81" t="s">
        <v>277</v>
      </c>
      <c r="V157" s="84" t="s">
        <v>329</v>
      </c>
    </row>
    <row r="158" customHeight="1" spans="1:22">
      <c r="A158" s="187"/>
      <c r="B158" s="188">
        <v>155</v>
      </c>
      <c r="C158" s="189"/>
      <c r="D158" s="190" t="s">
        <v>240</v>
      </c>
      <c r="E158" s="190" t="s">
        <v>241</v>
      </c>
      <c r="F158" s="191">
        <v>30</v>
      </c>
      <c r="G158" s="192"/>
      <c r="H158" s="193" t="s">
        <v>9</v>
      </c>
      <c r="I158" s="194"/>
      <c r="J158" s="195" t="s">
        <v>452</v>
      </c>
      <c r="K158" s="81" t="s">
        <v>455</v>
      </c>
      <c r="L158" s="206" t="s">
        <v>275</v>
      </c>
      <c r="M158" s="81" t="s">
        <v>456</v>
      </c>
      <c r="N158" s="196">
        <f t="shared" si="16"/>
        <v>2948.4</v>
      </c>
      <c r="O158" s="83">
        <v>98.28</v>
      </c>
      <c r="P158" s="81">
        <v>19</v>
      </c>
      <c r="Q158" s="81">
        <v>0.81</v>
      </c>
      <c r="R158" s="83">
        <f>O158*Q158</f>
        <v>79.6068</v>
      </c>
      <c r="S158" s="83">
        <f t="shared" si="18"/>
        <v>2388.204</v>
      </c>
      <c r="T158" s="81"/>
      <c r="U158" s="81" t="s">
        <v>277</v>
      </c>
      <c r="V158" s="84" t="s">
        <v>329</v>
      </c>
    </row>
    <row r="159" customHeight="1" spans="1:22">
      <c r="A159" s="187"/>
      <c r="B159" s="188">
        <v>156</v>
      </c>
      <c r="C159" s="189"/>
      <c r="D159" s="190" t="s">
        <v>242</v>
      </c>
      <c r="E159" s="190" t="s">
        <v>243</v>
      </c>
      <c r="F159" s="191">
        <v>924</v>
      </c>
      <c r="G159" s="192"/>
      <c r="H159" s="193" t="s">
        <v>9</v>
      </c>
      <c r="I159" s="194"/>
      <c r="J159" s="195" t="s">
        <v>426</v>
      </c>
      <c r="K159" s="81" t="s">
        <v>457</v>
      </c>
      <c r="L159" s="206" t="s">
        <v>275</v>
      </c>
      <c r="M159" s="109" t="s">
        <v>458</v>
      </c>
      <c r="N159" s="198">
        <f t="shared" si="16"/>
        <v>71702.4</v>
      </c>
      <c r="O159" s="199">
        <v>77.6</v>
      </c>
      <c r="P159" s="109">
        <v>16</v>
      </c>
      <c r="Q159" s="97">
        <v>0.84</v>
      </c>
      <c r="R159" s="199">
        <v>51</v>
      </c>
      <c r="S159" s="199">
        <f>F159*R159</f>
        <v>47124</v>
      </c>
      <c r="T159" s="97" t="s">
        <v>459</v>
      </c>
      <c r="U159" s="81" t="s">
        <v>277</v>
      </c>
      <c r="V159" s="84" t="s">
        <v>329</v>
      </c>
    </row>
    <row r="160" customHeight="1" spans="1:22">
      <c r="A160" s="187"/>
      <c r="B160" s="188">
        <v>157</v>
      </c>
      <c r="C160" s="189"/>
      <c r="D160" s="201">
        <v>5283275</v>
      </c>
      <c r="E160" s="190" t="s">
        <v>244</v>
      </c>
      <c r="F160" s="191">
        <v>12</v>
      </c>
      <c r="G160" s="192"/>
      <c r="H160" s="193" t="s">
        <v>9</v>
      </c>
      <c r="I160" s="194"/>
      <c r="J160" s="213" t="s">
        <v>460</v>
      </c>
      <c r="K160" s="81">
        <v>5283275</v>
      </c>
      <c r="L160" s="206" t="s">
        <v>275</v>
      </c>
      <c r="M160" s="109" t="str">
        <f>VLOOKUP(D160,[1]Sheet1!$B$2:$E$2486,4,FALSE)</f>
        <v>喷油器</v>
      </c>
      <c r="N160" s="198">
        <f t="shared" si="16"/>
        <v>11629.8</v>
      </c>
      <c r="O160" s="199">
        <v>969.15</v>
      </c>
      <c r="P160" s="97" t="s">
        <v>294</v>
      </c>
      <c r="Q160" s="97">
        <v>1</v>
      </c>
      <c r="R160" s="199">
        <v>680</v>
      </c>
      <c r="S160" s="229">
        <f t="shared" ref="S160:S171" si="19">R160*F160</f>
        <v>8160</v>
      </c>
      <c r="T160" s="97" t="s">
        <v>461</v>
      </c>
      <c r="U160" s="81" t="s">
        <v>277</v>
      </c>
      <c r="V160" s="84" t="s">
        <v>329</v>
      </c>
    </row>
    <row r="161" customHeight="1" spans="1:22">
      <c r="A161" s="187"/>
      <c r="B161" s="188">
        <v>158</v>
      </c>
      <c r="C161" s="189"/>
      <c r="D161" s="201">
        <v>5296723</v>
      </c>
      <c r="E161" s="190" t="s">
        <v>245</v>
      </c>
      <c r="F161" s="191">
        <v>6</v>
      </c>
      <c r="G161" s="192"/>
      <c r="H161" s="193" t="s">
        <v>9</v>
      </c>
      <c r="I161" s="194"/>
      <c r="J161" s="213" t="s">
        <v>460</v>
      </c>
      <c r="K161" s="81">
        <v>5296723</v>
      </c>
      <c r="L161" s="206" t="s">
        <v>275</v>
      </c>
      <c r="M161" s="109" t="str">
        <f>VLOOKUP(D161,[1]Sheet1!$B$2:$E$2486,4,FALSE)</f>
        <v>喷油器</v>
      </c>
      <c r="N161" s="198">
        <f t="shared" si="16"/>
        <v>6976.74</v>
      </c>
      <c r="O161" s="199">
        <v>1162.79</v>
      </c>
      <c r="P161" s="97" t="s">
        <v>294</v>
      </c>
      <c r="Q161" s="97">
        <v>1</v>
      </c>
      <c r="R161" s="199">
        <v>816</v>
      </c>
      <c r="S161" s="229">
        <f t="shared" si="19"/>
        <v>4896</v>
      </c>
      <c r="T161" s="97" t="s">
        <v>462</v>
      </c>
      <c r="U161" s="81" t="s">
        <v>277</v>
      </c>
      <c r="V161" s="84" t="s">
        <v>329</v>
      </c>
    </row>
    <row r="162" customHeight="1" spans="1:22">
      <c r="A162" s="187"/>
      <c r="B162" s="188">
        <v>159</v>
      </c>
      <c r="C162" s="189"/>
      <c r="D162" s="201">
        <v>5589197</v>
      </c>
      <c r="E162" s="190" t="s">
        <v>246</v>
      </c>
      <c r="F162" s="191">
        <v>40</v>
      </c>
      <c r="G162" s="192"/>
      <c r="H162" s="193" t="s">
        <v>9</v>
      </c>
      <c r="I162" s="194"/>
      <c r="J162" s="217" t="s">
        <v>463</v>
      </c>
      <c r="K162" s="81">
        <v>5589197</v>
      </c>
      <c r="L162" s="206" t="s">
        <v>275</v>
      </c>
      <c r="M162" s="81" t="str">
        <f>VLOOKUP(D162,[1]Sheet1!$B$2:$E$2486,4,FALSE)</f>
        <v>喷油器</v>
      </c>
      <c r="N162" s="196">
        <f t="shared" si="16"/>
        <v>34353.88</v>
      </c>
      <c r="O162" s="83">
        <v>858.847</v>
      </c>
      <c r="P162" s="81">
        <v>16</v>
      </c>
      <c r="Q162" s="81">
        <v>0.84</v>
      </c>
      <c r="R162" s="83">
        <f>O162*Q162</f>
        <v>721.43148</v>
      </c>
      <c r="S162" s="230">
        <f t="shared" si="19"/>
        <v>28857.2592</v>
      </c>
      <c r="T162" s="81"/>
      <c r="U162" s="81" t="s">
        <v>277</v>
      </c>
      <c r="V162" s="84"/>
    </row>
    <row r="163" customHeight="1" spans="1:22">
      <c r="A163" s="187"/>
      <c r="B163" s="188">
        <v>160</v>
      </c>
      <c r="C163" s="189"/>
      <c r="D163" s="190" t="s">
        <v>247</v>
      </c>
      <c r="E163" s="190" t="s">
        <v>248</v>
      </c>
      <c r="F163" s="191">
        <v>400</v>
      </c>
      <c r="G163" s="192"/>
      <c r="H163" s="193" t="s">
        <v>9</v>
      </c>
      <c r="I163" s="194"/>
      <c r="J163" s="217" t="s">
        <v>463</v>
      </c>
      <c r="K163" s="81">
        <v>5347134</v>
      </c>
      <c r="L163" s="206" t="s">
        <v>275</v>
      </c>
      <c r="M163" s="214" t="s">
        <v>463</v>
      </c>
      <c r="N163" s="198">
        <f t="shared" si="16"/>
        <v>234036</v>
      </c>
      <c r="O163" s="215">
        <v>585.09</v>
      </c>
      <c r="P163" s="97" t="s">
        <v>294</v>
      </c>
      <c r="Q163" s="97">
        <v>1</v>
      </c>
      <c r="R163" s="215">
        <v>430</v>
      </c>
      <c r="S163" s="229">
        <f t="shared" si="19"/>
        <v>172000</v>
      </c>
      <c r="T163" s="97" t="s">
        <v>464</v>
      </c>
      <c r="U163" s="81" t="s">
        <v>277</v>
      </c>
      <c r="V163" s="84" t="s">
        <v>329</v>
      </c>
    </row>
    <row r="164" customHeight="1" spans="1:22">
      <c r="A164" s="187"/>
      <c r="B164" s="188">
        <v>161</v>
      </c>
      <c r="C164" s="189"/>
      <c r="D164" s="201">
        <v>5257526</v>
      </c>
      <c r="E164" s="190" t="s">
        <v>249</v>
      </c>
      <c r="F164" s="192">
        <v>280</v>
      </c>
      <c r="G164" s="192"/>
      <c r="H164" s="193" t="s">
        <v>9</v>
      </c>
      <c r="I164" s="194"/>
      <c r="J164" s="195" t="s">
        <v>288</v>
      </c>
      <c r="K164" s="81">
        <v>5257526</v>
      </c>
      <c r="L164" s="206" t="s">
        <v>275</v>
      </c>
      <c r="M164" s="81" t="str">
        <f>VLOOKUP(D164,[1]Sheet1!$B$2:$E$2486,4,FALSE)</f>
        <v>活塞冷却喷嘴</v>
      </c>
      <c r="N164" s="196">
        <f t="shared" si="16"/>
        <v>5443.2</v>
      </c>
      <c r="O164" s="83">
        <f>VLOOKUP(D164,[1]Sheet1!$B$2:$F$2486,5,FALSE)</f>
        <v>19.44</v>
      </c>
      <c r="P164" s="81">
        <v>17</v>
      </c>
      <c r="Q164" s="184">
        <v>0.83</v>
      </c>
      <c r="R164" s="83">
        <f>Q164*O164</f>
        <v>16.1352</v>
      </c>
      <c r="S164" s="83">
        <f t="shared" si="19"/>
        <v>4517.856</v>
      </c>
      <c r="T164" s="81"/>
      <c r="U164" s="81" t="s">
        <v>277</v>
      </c>
      <c r="V164" s="84"/>
    </row>
    <row r="165" customHeight="1" spans="1:22">
      <c r="A165" s="187"/>
      <c r="B165" s="188">
        <v>162</v>
      </c>
      <c r="C165" s="189"/>
      <c r="D165" s="201">
        <v>3903652</v>
      </c>
      <c r="E165" s="190" t="s">
        <v>250</v>
      </c>
      <c r="F165" s="192">
        <v>20</v>
      </c>
      <c r="G165" s="192"/>
      <c r="H165" s="193" t="s">
        <v>9</v>
      </c>
      <c r="I165" s="194"/>
      <c r="J165" s="195" t="s">
        <v>288</v>
      </c>
      <c r="K165" s="81">
        <v>3903652</v>
      </c>
      <c r="L165" s="206" t="s">
        <v>275</v>
      </c>
      <c r="M165" s="81" t="str">
        <f>VLOOKUP(D165,[1]Sheet1!$B$2:$E$2486,4,FALSE)</f>
        <v>V型卡箍</v>
      </c>
      <c r="N165" s="196">
        <f t="shared" si="16"/>
        <v>579.6</v>
      </c>
      <c r="O165" s="83">
        <f>VLOOKUP(D165,[1]Sheet1!$B$2:$F$2486,5,FALSE)</f>
        <v>28.98</v>
      </c>
      <c r="P165" s="81">
        <v>15</v>
      </c>
      <c r="Q165" s="184">
        <v>0.85</v>
      </c>
      <c r="R165" s="83">
        <f>O165*Q165</f>
        <v>24.633</v>
      </c>
      <c r="S165" s="83">
        <f t="shared" si="19"/>
        <v>492.66</v>
      </c>
      <c r="T165" s="81"/>
      <c r="U165" s="81" t="s">
        <v>277</v>
      </c>
      <c r="V165" s="84"/>
    </row>
    <row r="166" customHeight="1" spans="1:22">
      <c r="A166" s="187"/>
      <c r="B166" s="188">
        <v>163</v>
      </c>
      <c r="C166" s="189"/>
      <c r="D166" s="204">
        <v>4982040</v>
      </c>
      <c r="E166" s="190" t="s">
        <v>251</v>
      </c>
      <c r="F166" s="192">
        <v>50</v>
      </c>
      <c r="G166" s="192"/>
      <c r="H166" s="193" t="s">
        <v>9</v>
      </c>
      <c r="I166" s="194"/>
      <c r="J166" s="195" t="s">
        <v>288</v>
      </c>
      <c r="K166" s="81">
        <v>4982040</v>
      </c>
      <c r="L166" s="206" t="s">
        <v>275</v>
      </c>
      <c r="M166" s="81" t="str">
        <f>VLOOKUP(D166,[1]Sheet1!$B$2:$E$2486,4,FALSE)</f>
        <v>链条</v>
      </c>
      <c r="N166" s="196">
        <f t="shared" si="16"/>
        <v>5911.155</v>
      </c>
      <c r="O166" s="83">
        <f>VLOOKUP(D166,[1]Sheet1!$B$2:$F$2486,5,FALSE)</f>
        <v>118.2231</v>
      </c>
      <c r="P166" s="81">
        <v>24</v>
      </c>
      <c r="Q166" s="81">
        <v>0.76</v>
      </c>
      <c r="R166" s="83">
        <f t="shared" ref="R166:R171" si="20">Q166*O166</f>
        <v>89.849556</v>
      </c>
      <c r="S166" s="83">
        <f t="shared" si="19"/>
        <v>4492.4778</v>
      </c>
      <c r="T166" s="81"/>
      <c r="U166" s="81" t="s">
        <v>277</v>
      </c>
      <c r="V166" s="84"/>
    </row>
    <row r="167" customHeight="1" spans="1:22">
      <c r="A167" s="187"/>
      <c r="B167" s="188">
        <v>164</v>
      </c>
      <c r="C167" s="189"/>
      <c r="D167" s="190" t="s">
        <v>252</v>
      </c>
      <c r="E167" s="190" t="s">
        <v>253</v>
      </c>
      <c r="F167" s="192">
        <v>200</v>
      </c>
      <c r="G167" s="192"/>
      <c r="H167" s="193" t="s">
        <v>9</v>
      </c>
      <c r="I167" s="194"/>
      <c r="J167" s="195" t="s">
        <v>288</v>
      </c>
      <c r="K167" s="81">
        <v>5263946</v>
      </c>
      <c r="L167" s="206" t="s">
        <v>275</v>
      </c>
      <c r="M167" s="203" t="s">
        <v>465</v>
      </c>
      <c r="N167" s="196">
        <f t="shared" si="16"/>
        <v>32000</v>
      </c>
      <c r="O167" s="140">
        <v>160</v>
      </c>
      <c r="P167" s="81">
        <v>24</v>
      </c>
      <c r="Q167" s="81">
        <v>0.76</v>
      </c>
      <c r="R167" s="83">
        <f t="shared" si="20"/>
        <v>121.6</v>
      </c>
      <c r="S167" s="83">
        <f t="shared" si="19"/>
        <v>24320</v>
      </c>
      <c r="T167" s="81"/>
      <c r="U167" s="81" t="s">
        <v>277</v>
      </c>
      <c r="V167" s="84"/>
    </row>
    <row r="168" customHeight="1" spans="1:22">
      <c r="A168" s="187"/>
      <c r="B168" s="188">
        <v>165</v>
      </c>
      <c r="C168" s="189"/>
      <c r="D168" s="190" t="s">
        <v>254</v>
      </c>
      <c r="E168" s="190" t="s">
        <v>255</v>
      </c>
      <c r="F168" s="192">
        <v>16</v>
      </c>
      <c r="G168" s="192"/>
      <c r="H168" s="193" t="s">
        <v>9</v>
      </c>
      <c r="I168" s="194"/>
      <c r="J168" s="195" t="s">
        <v>288</v>
      </c>
      <c r="K168" s="81">
        <v>5257364</v>
      </c>
      <c r="L168" s="206" t="s">
        <v>275</v>
      </c>
      <c r="M168" s="203" t="s">
        <v>466</v>
      </c>
      <c r="N168" s="196">
        <f t="shared" si="16"/>
        <v>2685.92</v>
      </c>
      <c r="O168" s="140">
        <v>167.87</v>
      </c>
      <c r="P168" s="81">
        <v>23</v>
      </c>
      <c r="Q168" s="81">
        <v>0.77</v>
      </c>
      <c r="R168" s="83">
        <f t="shared" si="20"/>
        <v>129.2599</v>
      </c>
      <c r="S168" s="83">
        <f t="shared" si="19"/>
        <v>2068.1584</v>
      </c>
      <c r="T168" s="81"/>
      <c r="U168" s="81" t="s">
        <v>277</v>
      </c>
      <c r="V168" s="84"/>
    </row>
    <row r="169" customHeight="1" spans="1:22">
      <c r="A169" s="187"/>
      <c r="B169" s="188">
        <v>166</v>
      </c>
      <c r="C169" s="189"/>
      <c r="D169" s="190" t="s">
        <v>256</v>
      </c>
      <c r="E169" s="190" t="s">
        <v>257</v>
      </c>
      <c r="F169" s="192">
        <v>5</v>
      </c>
      <c r="G169" s="192"/>
      <c r="H169" s="193" t="s">
        <v>9</v>
      </c>
      <c r="I169" s="194"/>
      <c r="J169" s="195" t="s">
        <v>288</v>
      </c>
      <c r="K169" s="81">
        <v>5305218</v>
      </c>
      <c r="L169" s="206" t="s">
        <v>275</v>
      </c>
      <c r="M169" s="203" t="s">
        <v>467</v>
      </c>
      <c r="N169" s="196">
        <f t="shared" si="16"/>
        <v>1296.1395</v>
      </c>
      <c r="O169" s="140">
        <v>259.2279</v>
      </c>
      <c r="P169" s="81">
        <v>23</v>
      </c>
      <c r="Q169" s="81">
        <v>0.77</v>
      </c>
      <c r="R169" s="83">
        <f t="shared" si="20"/>
        <v>199.605483</v>
      </c>
      <c r="S169" s="83">
        <f t="shared" si="19"/>
        <v>998.027415</v>
      </c>
      <c r="T169" s="81"/>
      <c r="U169" s="81" t="s">
        <v>277</v>
      </c>
      <c r="V169" s="84"/>
    </row>
    <row r="170" customHeight="1" spans="1:22">
      <c r="A170" s="187"/>
      <c r="B170" s="188">
        <v>167</v>
      </c>
      <c r="C170" s="189"/>
      <c r="D170" s="201">
        <v>4990291</v>
      </c>
      <c r="E170" s="190" t="s">
        <v>258</v>
      </c>
      <c r="F170" s="192">
        <v>2</v>
      </c>
      <c r="G170" s="192"/>
      <c r="H170" s="193" t="s">
        <v>9</v>
      </c>
      <c r="I170" s="194"/>
      <c r="J170" s="195" t="s">
        <v>288</v>
      </c>
      <c r="K170" s="81">
        <v>4990291</v>
      </c>
      <c r="L170" s="206" t="s">
        <v>275</v>
      </c>
      <c r="M170" s="81" t="str">
        <f>VLOOKUP(D170,[1]Sheet1!$B$2:$E$2486,4,FALSE)</f>
        <v>机油冷却器芯</v>
      </c>
      <c r="N170" s="196">
        <f t="shared" si="16"/>
        <v>396.2088</v>
      </c>
      <c r="O170" s="83">
        <f>VLOOKUP(D170,[1]Sheet1!$B$2:$F$2486,5,FALSE)</f>
        <v>198.1044</v>
      </c>
      <c r="P170" s="81">
        <v>23</v>
      </c>
      <c r="Q170" s="81">
        <v>0.77</v>
      </c>
      <c r="R170" s="83">
        <f t="shared" si="20"/>
        <v>152.540388</v>
      </c>
      <c r="S170" s="83">
        <f t="shared" si="19"/>
        <v>305.080776</v>
      </c>
      <c r="T170" s="81"/>
      <c r="U170" s="81" t="s">
        <v>277</v>
      </c>
      <c r="V170" s="84"/>
    </row>
    <row r="171" customHeight="1" spans="1:22">
      <c r="A171" s="187"/>
      <c r="B171" s="231">
        <v>168</v>
      </c>
      <c r="C171" s="232"/>
      <c r="D171" s="233">
        <v>5318533</v>
      </c>
      <c r="E171" s="234" t="s">
        <v>259</v>
      </c>
      <c r="F171" s="235">
        <v>30</v>
      </c>
      <c r="G171" s="235"/>
      <c r="H171" s="236" t="s">
        <v>9</v>
      </c>
      <c r="I171" s="237"/>
      <c r="J171" s="195" t="s">
        <v>288</v>
      </c>
      <c r="K171" s="112">
        <v>5318533</v>
      </c>
      <c r="L171" s="206" t="s">
        <v>275</v>
      </c>
      <c r="M171" s="112" t="str">
        <f>VLOOKUP(D171,[1]Sheet1!$B$2:$E$2486,4,FALSE)</f>
        <v>机油冷却器</v>
      </c>
      <c r="N171" s="196">
        <f t="shared" si="16"/>
        <v>10438.578</v>
      </c>
      <c r="O171" s="111">
        <f>VLOOKUP(D171,[1]Sheet1!$B$2:$F$2486,5,FALSE)</f>
        <v>347.9526</v>
      </c>
      <c r="P171" s="238">
        <v>23</v>
      </c>
      <c r="Q171" s="81">
        <v>0.77</v>
      </c>
      <c r="R171" s="83">
        <f t="shared" si="20"/>
        <v>267.923502</v>
      </c>
      <c r="S171" s="83">
        <f t="shared" si="19"/>
        <v>8037.70506</v>
      </c>
      <c r="T171" s="112"/>
      <c r="U171" s="112" t="s">
        <v>277</v>
      </c>
      <c r="V171" s="129"/>
    </row>
    <row r="172" customHeight="1" spans="1:22">
      <c r="B172" s="239"/>
      <c r="C172" s="239"/>
      <c r="D172" s="240"/>
      <c r="E172" s="240"/>
      <c r="F172" s="241"/>
      <c r="G172" s="239"/>
      <c r="H172" s="239"/>
      <c r="I172" s="239"/>
    </row>
    <row r="174" customHeight="1" spans="1:22">
      <c r="K174" s="77"/>
    </row>
  </sheetData>
  <autoFilter xmlns:etc="http://www.wps.cn/officeDocument/2017/etCustomData" ref="A2:V171" etc:filterBottomFollowUsedRange="0">
    <extLst/>
  </autoFilter>
  <mergeCells count="12"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T2:T3"/>
    <mergeCell ref="U2:U3"/>
    <mergeCell ref="V2:V3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2"/>
  <sheetViews>
    <sheetView zoomScale="70" zoomScaleNormal="70" topLeftCell="D1" workbookViewId="0">
      <selection activeCell="O11" sqref="O11"/>
    </sheetView>
  </sheetViews>
  <sheetFormatPr defaultColWidth="9.33333333333333" defaultRowHeight="18.25" customHeight="1"/>
  <cols>
    <col min="1" max="1" width="27.6666666666667" style="72" customWidth="1"/>
    <col min="2" max="2" width="22" style="72" customWidth="1"/>
    <col min="3" max="3" width="9.33333333333333" style="72"/>
    <col min="4" max="4" width="15.6666666666667" style="73" customWidth="1"/>
    <col min="5" max="5" width="15.6666666666667" style="74" customWidth="1"/>
    <col min="6" max="6" width="14.8333333333333" style="72" customWidth="1"/>
    <col min="7" max="7" width="9.33333333333333" style="72"/>
    <col min="8" max="8" width="12.5" style="72" customWidth="1"/>
    <col min="9" max="9" width="27.8333333333333" style="72" customWidth="1"/>
    <col min="10" max="10" width="9.33333333333333" style="72"/>
    <col min="11" max="11" width="34.5" style="72" customWidth="1"/>
    <col min="12" max="12" width="11" style="72" customWidth="1"/>
    <col min="13" max="13" width="12.6666666666667" style="75" customWidth="1"/>
    <col min="14" max="14" width="42.5" style="72" customWidth="1"/>
    <col min="15" max="15" width="17.1666666666667" style="74" customWidth="1"/>
    <col min="16" max="16" width="15.1666666666667" style="75"/>
    <col min="17" max="17" width="10.8333333333333" style="72" customWidth="1"/>
    <col min="18" max="19" width="9.33333333333333" style="72"/>
    <col min="20" max="20" width="29.6666666666667" style="72" customWidth="1"/>
    <col min="21" max="21" width="36.5" style="72" customWidth="1"/>
    <col min="22" max="24" width="13.8333333333333" style="72" customWidth="1"/>
    <col min="25" max="25" width="13.5" style="72" customWidth="1"/>
    <col min="26" max="26" width="14" style="72"/>
    <col min="27" max="16384" width="9.33333333333333" style="72"/>
  </cols>
  <sheetData>
    <row r="1" customHeight="1" spans="1:28">
      <c r="A1" s="76" t="s">
        <v>460</v>
      </c>
      <c r="B1" s="77"/>
      <c r="C1" s="77"/>
      <c r="D1" s="78"/>
      <c r="E1" s="79"/>
      <c r="F1" s="77"/>
      <c r="G1" s="77"/>
      <c r="H1" s="77"/>
      <c r="K1" s="80" t="s">
        <v>468</v>
      </c>
      <c r="L1" s="81"/>
      <c r="M1" s="82"/>
      <c r="N1" s="81"/>
      <c r="O1" s="83"/>
      <c r="P1" s="82"/>
      <c r="Q1" s="84"/>
      <c r="T1" s="85" t="s">
        <v>278</v>
      </c>
      <c r="U1" s="86"/>
      <c r="V1" s="86"/>
      <c r="W1" s="86"/>
      <c r="X1" s="86"/>
      <c r="Y1" s="87"/>
      <c r="AA1" s="88" t="s">
        <v>469</v>
      </c>
    </row>
    <row r="2" customHeight="1" spans="1:28">
      <c r="A2" s="89" t="s">
        <v>470</v>
      </c>
      <c r="B2" s="89" t="s">
        <v>471</v>
      </c>
      <c r="C2" s="89" t="s">
        <v>472</v>
      </c>
      <c r="D2" s="90" t="s">
        <v>473</v>
      </c>
      <c r="E2" s="91" t="s">
        <v>474</v>
      </c>
      <c r="F2" s="92" t="s">
        <v>475</v>
      </c>
      <c r="G2" s="93" t="s">
        <v>476</v>
      </c>
      <c r="H2" s="94" t="s">
        <v>477</v>
      </c>
      <c r="K2" s="80" t="s">
        <v>478</v>
      </c>
      <c r="L2" s="95" t="s">
        <v>479</v>
      </c>
      <c r="M2" s="96" t="s">
        <v>480</v>
      </c>
      <c r="N2" s="97" t="s">
        <v>476</v>
      </c>
      <c r="O2" s="92" t="s">
        <v>475</v>
      </c>
      <c r="P2" s="96" t="s">
        <v>481</v>
      </c>
      <c r="Q2" s="98" t="s">
        <v>482</v>
      </c>
      <c r="S2" s="99" t="s">
        <v>473</v>
      </c>
      <c r="T2" s="80" t="s">
        <v>470</v>
      </c>
      <c r="U2" s="93" t="s">
        <v>471</v>
      </c>
      <c r="V2" s="91" t="s">
        <v>474</v>
      </c>
      <c r="W2" s="89" t="s">
        <v>475</v>
      </c>
      <c r="X2" s="93" t="s">
        <v>476</v>
      </c>
      <c r="Y2" s="100" t="s">
        <v>267</v>
      </c>
      <c r="Z2" s="100" t="s">
        <v>477</v>
      </c>
      <c r="AA2" s="101" t="s">
        <v>483</v>
      </c>
      <c r="AB2" s="101" t="s">
        <v>484</v>
      </c>
    </row>
    <row r="3" customHeight="1" spans="1:28">
      <c r="A3" s="81">
        <v>5283275</v>
      </c>
      <c r="B3" s="93" t="s">
        <v>460</v>
      </c>
      <c r="C3" s="93" t="s">
        <v>485</v>
      </c>
      <c r="D3" s="102">
        <v>12</v>
      </c>
      <c r="E3" s="83"/>
      <c r="F3" s="83">
        <v>8160</v>
      </c>
      <c r="G3" s="81" t="s">
        <v>333</v>
      </c>
      <c r="H3" s="83">
        <v>680</v>
      </c>
      <c r="I3" s="103" t="s">
        <v>486</v>
      </c>
      <c r="K3" s="104" t="s">
        <v>487</v>
      </c>
      <c r="L3" s="81">
        <v>12</v>
      </c>
      <c r="M3" s="82">
        <f>L3/127</f>
        <v>0.094488188976378</v>
      </c>
      <c r="N3" s="97" t="s">
        <v>294</v>
      </c>
      <c r="O3" s="83">
        <v>10171.68</v>
      </c>
      <c r="P3" s="82">
        <f>O3/1259995.52</f>
        <v>0.0080727906080174</v>
      </c>
      <c r="Q3" s="105">
        <v>25.5</v>
      </c>
      <c r="S3" s="84">
        <v>16</v>
      </c>
      <c r="T3" s="106" t="s">
        <v>10</v>
      </c>
      <c r="U3" s="81" t="s">
        <v>279</v>
      </c>
      <c r="V3" s="83">
        <v>8137.01</v>
      </c>
      <c r="W3" s="83">
        <v>130192.16</v>
      </c>
      <c r="X3" s="81">
        <v>13</v>
      </c>
      <c r="Y3" s="107">
        <v>0.87</v>
      </c>
      <c r="Z3" s="108">
        <f>Y3*V3</f>
        <v>7079.1987</v>
      </c>
      <c r="AA3" s="72">
        <v>6272</v>
      </c>
      <c r="AB3" s="72">
        <v>18</v>
      </c>
    </row>
    <row r="4" customHeight="1" spans="1:28">
      <c r="A4" s="81">
        <v>5296723</v>
      </c>
      <c r="B4" s="93" t="s">
        <v>460</v>
      </c>
      <c r="C4" s="93" t="s">
        <v>485</v>
      </c>
      <c r="D4" s="102">
        <v>6</v>
      </c>
      <c r="E4" s="83"/>
      <c r="F4" s="83">
        <v>4896</v>
      </c>
      <c r="G4" s="81" t="s">
        <v>333</v>
      </c>
      <c r="H4" s="83">
        <v>816</v>
      </c>
      <c r="I4" s="103" t="s">
        <v>486</v>
      </c>
      <c r="K4" s="104" t="s">
        <v>488</v>
      </c>
      <c r="L4" s="81">
        <v>37</v>
      </c>
      <c r="M4" s="82">
        <f>L4/127</f>
        <v>0.291338582677165</v>
      </c>
      <c r="N4" s="109" t="s">
        <v>489</v>
      </c>
      <c r="O4" s="83">
        <v>84941.175</v>
      </c>
      <c r="P4" s="82">
        <f>O4/1259995.52</f>
        <v>0.0674138706461433</v>
      </c>
      <c r="Q4" s="105">
        <v>25.5</v>
      </c>
      <c r="S4" s="84">
        <v>20</v>
      </c>
      <c r="T4" s="106" t="s">
        <v>284</v>
      </c>
      <c r="U4" s="81" t="s">
        <v>490</v>
      </c>
      <c r="V4" s="83">
        <v>13563.45</v>
      </c>
      <c r="W4" s="83">
        <v>271269</v>
      </c>
      <c r="X4" s="81">
        <v>13</v>
      </c>
      <c r="Y4" s="107">
        <v>0.87</v>
      </c>
      <c r="Z4" s="108">
        <f>Y4*V4</f>
        <v>11800.2015</v>
      </c>
      <c r="AA4" s="72">
        <v>10455</v>
      </c>
      <c r="AB4" s="72">
        <v>18</v>
      </c>
    </row>
    <row r="5" ht="27" customHeight="1" spans="1:28">
      <c r="A5" s="81">
        <v>5589197</v>
      </c>
      <c r="B5" s="93" t="s">
        <v>460</v>
      </c>
      <c r="C5" s="93" t="s">
        <v>294</v>
      </c>
      <c r="D5" s="102">
        <v>40</v>
      </c>
      <c r="E5" s="83">
        <v>858.847</v>
      </c>
      <c r="F5" s="83">
        <v>34353.88</v>
      </c>
      <c r="G5" s="81">
        <v>16</v>
      </c>
      <c r="H5" s="83">
        <f>E5*0.84</f>
        <v>721.43148</v>
      </c>
      <c r="K5" s="104" t="s">
        <v>491</v>
      </c>
      <c r="L5" s="81">
        <v>64</v>
      </c>
      <c r="M5" s="82">
        <f>L5/127</f>
        <v>0.503937007874016</v>
      </c>
      <c r="N5" s="110" t="s">
        <v>492</v>
      </c>
      <c r="O5" s="83">
        <v>425711.843</v>
      </c>
      <c r="P5" s="82">
        <f>O5/1259995.52</f>
        <v>0.337867743371024</v>
      </c>
      <c r="Q5" s="105">
        <v>25.5</v>
      </c>
      <c r="S5" s="84">
        <v>4</v>
      </c>
      <c r="T5" s="106" t="s">
        <v>284</v>
      </c>
      <c r="U5" s="81" t="s">
        <v>490</v>
      </c>
      <c r="V5" s="83">
        <v>13563.45</v>
      </c>
      <c r="W5" s="83">
        <v>54253.8</v>
      </c>
      <c r="X5" s="81">
        <v>13</v>
      </c>
      <c r="Y5" s="107">
        <v>0.87</v>
      </c>
      <c r="Z5" s="108">
        <f>Y5*V5</f>
        <v>11800.2015</v>
      </c>
      <c r="AA5" s="72">
        <v>10455</v>
      </c>
      <c r="AB5" s="72">
        <v>18</v>
      </c>
    </row>
    <row r="6" ht="36" customHeight="1" spans="1:28">
      <c r="A6" s="81">
        <v>5347134</v>
      </c>
      <c r="B6" s="93" t="s">
        <v>460</v>
      </c>
      <c r="C6" s="93" t="s">
        <v>485</v>
      </c>
      <c r="D6" s="102">
        <v>400</v>
      </c>
      <c r="E6" s="111"/>
      <c r="F6" s="111">
        <v>181600</v>
      </c>
      <c r="G6" s="112" t="s">
        <v>333</v>
      </c>
      <c r="H6" s="113">
        <v>430</v>
      </c>
      <c r="I6" s="103" t="s">
        <v>486</v>
      </c>
      <c r="K6" s="104" t="s">
        <v>493</v>
      </c>
      <c r="L6" s="81">
        <v>14</v>
      </c>
      <c r="M6" s="82">
        <f>L6/127</f>
        <v>0.110236220472441</v>
      </c>
      <c r="N6" s="110" t="s">
        <v>494</v>
      </c>
      <c r="O6" s="83">
        <v>739170.8244</v>
      </c>
      <c r="P6" s="82">
        <f>O6/1259995.52</f>
        <v>0.586645597279584</v>
      </c>
      <c r="Q6" s="105">
        <v>25.5</v>
      </c>
      <c r="T6" s="77"/>
      <c r="U6" s="77"/>
      <c r="V6" s="79"/>
      <c r="W6" s="79">
        <f>SUM(W3:W5)</f>
        <v>455714.96</v>
      </c>
      <c r="X6" s="77"/>
      <c r="Y6" s="77"/>
      <c r="AA6" s="72" t="s">
        <v>495</v>
      </c>
    </row>
    <row r="7" customHeight="1" spans="1:28">
      <c r="F7" s="74">
        <f>SUM(F3:F6)</f>
        <v>229009.88</v>
      </c>
      <c r="K7" s="104" t="s">
        <v>496</v>
      </c>
      <c r="L7" s="81">
        <v>0</v>
      </c>
      <c r="M7" s="82">
        <f>L7/127</f>
        <v>0</v>
      </c>
      <c r="N7" s="109"/>
      <c r="O7" s="83"/>
      <c r="P7" s="82"/>
      <c r="Q7" s="105">
        <v>25.5</v>
      </c>
      <c r="T7" s="103" t="s">
        <v>497</v>
      </c>
      <c r="V7" s="74"/>
      <c r="W7" s="74"/>
    </row>
    <row r="8" customHeight="1" spans="1:28">
      <c r="K8" s="114"/>
      <c r="L8" s="72">
        <v>127</v>
      </c>
      <c r="O8" s="74">
        <v>1259995.52</v>
      </c>
      <c r="V8" s="74"/>
      <c r="W8" s="74"/>
    </row>
    <row r="9" customHeight="1" spans="1:28">
      <c r="A9" s="115" t="s">
        <v>498</v>
      </c>
      <c r="B9" s="116"/>
      <c r="C9" s="116"/>
      <c r="D9" s="117"/>
      <c r="E9" s="118"/>
      <c r="F9" s="116"/>
      <c r="G9" s="116"/>
      <c r="H9" s="119"/>
      <c r="K9" s="114"/>
      <c r="V9" s="74"/>
      <c r="W9" s="74"/>
    </row>
    <row r="10" customHeight="1" spans="1:28">
      <c r="A10" s="89" t="s">
        <v>498</v>
      </c>
      <c r="B10" s="89" t="s">
        <v>471</v>
      </c>
      <c r="C10" s="89" t="s">
        <v>472</v>
      </c>
      <c r="D10" s="90" t="s">
        <v>473</v>
      </c>
      <c r="E10" s="91" t="s">
        <v>474</v>
      </c>
      <c r="F10" s="92" t="s">
        <v>475</v>
      </c>
      <c r="G10" s="93" t="s">
        <v>476</v>
      </c>
      <c r="H10" s="94" t="s">
        <v>477</v>
      </c>
      <c r="K10" s="120" t="s">
        <v>499</v>
      </c>
      <c r="L10" s="116"/>
      <c r="M10" s="116"/>
      <c r="N10" s="116"/>
      <c r="O10" s="118"/>
      <c r="P10" s="116"/>
      <c r="Q10" s="119"/>
      <c r="S10" s="99" t="s">
        <v>473</v>
      </c>
      <c r="T10" s="121" t="s">
        <v>470</v>
      </c>
      <c r="U10" s="89" t="s">
        <v>471</v>
      </c>
      <c r="V10" s="91" t="s">
        <v>474</v>
      </c>
      <c r="W10" s="91" t="s">
        <v>475</v>
      </c>
      <c r="X10" s="89" t="s">
        <v>266</v>
      </c>
      <c r="Y10" s="94" t="s">
        <v>477</v>
      </c>
    </row>
    <row r="11" customHeight="1" spans="1:28">
      <c r="A11" s="81" t="s">
        <v>427</v>
      </c>
      <c r="B11" s="93" t="s">
        <v>500</v>
      </c>
      <c r="C11" s="93">
        <v>22</v>
      </c>
      <c r="D11" s="102">
        <v>40</v>
      </c>
      <c r="E11" s="83">
        <v>388.8</v>
      </c>
      <c r="F11" s="83">
        <v>15552</v>
      </c>
      <c r="G11" s="81">
        <v>13</v>
      </c>
      <c r="H11" s="108">
        <f>E11*0.87</f>
        <v>338.256</v>
      </c>
      <c r="I11" s="103"/>
      <c r="K11" s="122" t="s">
        <v>501</v>
      </c>
      <c r="L11" s="123" t="s">
        <v>479</v>
      </c>
      <c r="M11" s="124" t="s">
        <v>480</v>
      </c>
      <c r="N11" s="93" t="s">
        <v>476</v>
      </c>
      <c r="O11" s="125" t="s">
        <v>475</v>
      </c>
      <c r="P11" s="124" t="s">
        <v>481</v>
      </c>
      <c r="Q11" s="126" t="s">
        <v>502</v>
      </c>
      <c r="S11" s="127" t="s">
        <v>503</v>
      </c>
      <c r="T11" s="106" t="s">
        <v>274</v>
      </c>
      <c r="U11" s="81" t="s">
        <v>504</v>
      </c>
      <c r="V11" s="83">
        <v>8018.64</v>
      </c>
      <c r="W11" s="83">
        <v>24055.92</v>
      </c>
      <c r="X11" s="128" t="s">
        <v>505</v>
      </c>
      <c r="Y11" s="108">
        <f>V11*0.75</f>
        <v>6013.98</v>
      </c>
    </row>
    <row r="12" customHeight="1" spans="1:28">
      <c r="A12" s="81" t="s">
        <v>445</v>
      </c>
      <c r="B12" s="93" t="s">
        <v>500</v>
      </c>
      <c r="C12" s="93"/>
      <c r="D12" s="102">
        <v>36</v>
      </c>
      <c r="E12" s="83">
        <v>66</v>
      </c>
      <c r="F12" s="83">
        <v>2376</v>
      </c>
      <c r="G12" s="81" t="s">
        <v>333</v>
      </c>
      <c r="H12" s="108">
        <v>46.5</v>
      </c>
      <c r="I12" s="103" t="s">
        <v>486</v>
      </c>
      <c r="K12" s="104" t="s">
        <v>506</v>
      </c>
      <c r="L12" s="81">
        <v>20</v>
      </c>
      <c r="M12" s="82">
        <v>1</v>
      </c>
      <c r="N12" s="93" t="s">
        <v>507</v>
      </c>
      <c r="O12" s="83">
        <v>71105.06</v>
      </c>
      <c r="P12" s="82">
        <v>1</v>
      </c>
      <c r="Q12" s="129">
        <v>17</v>
      </c>
      <c r="S12" s="130" t="s">
        <v>508</v>
      </c>
      <c r="T12" s="131" t="s">
        <v>282</v>
      </c>
      <c r="U12" s="112" t="s">
        <v>509</v>
      </c>
      <c r="V12" s="111">
        <v>13661.76</v>
      </c>
      <c r="W12" s="111">
        <v>68308.8</v>
      </c>
      <c r="X12" s="132" t="s">
        <v>505</v>
      </c>
      <c r="Y12" s="133">
        <f>V12*0.75</f>
        <v>10246.32</v>
      </c>
    </row>
    <row r="13" customHeight="1" spans="1:28">
      <c r="A13" s="81" t="s">
        <v>457</v>
      </c>
      <c r="B13" s="93" t="s">
        <v>500</v>
      </c>
      <c r="C13" s="93">
        <v>6934</v>
      </c>
      <c r="D13" s="102">
        <v>924</v>
      </c>
      <c r="E13" s="111">
        <v>77.6</v>
      </c>
      <c r="F13" s="111">
        <v>71702.4</v>
      </c>
      <c r="G13" s="112" t="s">
        <v>333</v>
      </c>
      <c r="H13" s="134">
        <v>51</v>
      </c>
      <c r="I13" s="103" t="s">
        <v>486</v>
      </c>
      <c r="V13" s="74"/>
      <c r="W13" s="74">
        <f>SUM(W11:W12)</f>
        <v>92364.72</v>
      </c>
    </row>
    <row r="14" customHeight="1" spans="1:28">
      <c r="F14" s="74">
        <f>SUM(F11:F13)</f>
        <v>89630.4</v>
      </c>
    </row>
    <row r="16" customHeight="1" spans="1:28">
      <c r="A16" s="89" t="s">
        <v>373</v>
      </c>
      <c r="B16" s="135"/>
      <c r="C16" s="135"/>
      <c r="D16" s="136"/>
      <c r="E16" s="137"/>
      <c r="F16" s="135"/>
      <c r="G16" s="135"/>
      <c r="H16" s="138"/>
    </row>
    <row r="17" customHeight="1" spans="1:20">
      <c r="A17" s="93" t="s">
        <v>470</v>
      </c>
      <c r="B17" s="93" t="s">
        <v>471</v>
      </c>
      <c r="C17" s="93" t="s">
        <v>472</v>
      </c>
      <c r="D17" s="90" t="s">
        <v>473</v>
      </c>
      <c r="E17" s="91" t="s">
        <v>474</v>
      </c>
      <c r="F17" s="92" t="s">
        <v>475</v>
      </c>
      <c r="G17" s="93" t="s">
        <v>476</v>
      </c>
      <c r="H17" s="100" t="s">
        <v>477</v>
      </c>
    </row>
    <row r="18" customHeight="1" spans="1:20">
      <c r="A18" s="81">
        <v>5256607</v>
      </c>
      <c r="B18" s="93" t="s">
        <v>373</v>
      </c>
      <c r="C18" s="93" t="s">
        <v>294</v>
      </c>
      <c r="D18" s="139">
        <v>1</v>
      </c>
      <c r="E18" s="140">
        <v>4271.431098</v>
      </c>
      <c r="F18" s="83">
        <v>4271.431098</v>
      </c>
      <c r="G18" s="81">
        <v>24</v>
      </c>
      <c r="H18" s="134">
        <v>2700</v>
      </c>
      <c r="I18" s="101" t="s">
        <v>510</v>
      </c>
      <c r="J18" s="77"/>
      <c r="K18" s="77"/>
      <c r="L18" s="77"/>
      <c r="M18" s="141"/>
      <c r="N18" s="77"/>
    </row>
    <row r="19" customHeight="1" spans="1:20">
      <c r="A19" s="81">
        <v>5318651</v>
      </c>
      <c r="B19" s="93" t="s">
        <v>373</v>
      </c>
      <c r="C19" s="93" t="s">
        <v>485</v>
      </c>
      <c r="D19" s="139">
        <v>2</v>
      </c>
      <c r="E19" s="140"/>
      <c r="F19" s="83">
        <v>4134</v>
      </c>
      <c r="G19" s="81" t="s">
        <v>333</v>
      </c>
      <c r="H19" s="113">
        <v>2067</v>
      </c>
      <c r="I19" s="103" t="s">
        <v>486</v>
      </c>
      <c r="J19" s="77"/>
      <c r="K19" s="77"/>
      <c r="L19" s="77"/>
      <c r="M19" s="141"/>
      <c r="N19" s="77"/>
    </row>
    <row r="20" customHeight="1" spans="1:20">
      <c r="A20" s="81">
        <v>4990601</v>
      </c>
      <c r="B20" s="93" t="s">
        <v>373</v>
      </c>
      <c r="C20" s="142" t="s">
        <v>294</v>
      </c>
      <c r="D20" s="139">
        <v>2</v>
      </c>
      <c r="E20" s="140">
        <v>5222.7156</v>
      </c>
      <c r="F20" s="111">
        <v>10445.4312</v>
      </c>
      <c r="G20" s="112">
        <v>24</v>
      </c>
      <c r="H20" s="133">
        <f>E20*0.76</f>
        <v>3969.263856</v>
      </c>
      <c r="I20" s="103"/>
      <c r="J20" s="77"/>
      <c r="K20" s="143"/>
      <c r="L20" s="143"/>
      <c r="M20" s="144"/>
      <c r="N20" s="77"/>
    </row>
    <row r="21" customHeight="1" spans="1:20">
      <c r="F21" s="74">
        <f>SUM(F18:F20)</f>
        <v>18850.862298</v>
      </c>
      <c r="J21" s="77"/>
      <c r="K21" s="143"/>
      <c r="L21" s="77"/>
      <c r="M21" s="141"/>
      <c r="N21" s="77"/>
      <c r="T21" s="145"/>
    </row>
    <row r="22" customHeight="1" spans="1:20">
      <c r="A22" s="145"/>
      <c r="J22" s="77"/>
      <c r="K22" s="77"/>
      <c r="L22" s="77"/>
      <c r="M22" s="141"/>
      <c r="N22" s="77"/>
    </row>
    <row r="23" customHeight="1" spans="1:20">
      <c r="A23" s="115" t="s">
        <v>498</v>
      </c>
      <c r="B23" s="116"/>
      <c r="C23" s="116"/>
      <c r="D23" s="117"/>
      <c r="E23" s="118"/>
      <c r="F23" s="116"/>
      <c r="G23" s="116"/>
      <c r="H23" s="119"/>
    </row>
    <row r="24" customHeight="1" spans="1:20">
      <c r="A24" s="89" t="s">
        <v>498</v>
      </c>
      <c r="B24" s="89" t="s">
        <v>471</v>
      </c>
      <c r="C24" s="89" t="s">
        <v>472</v>
      </c>
      <c r="D24" s="90" t="s">
        <v>473</v>
      </c>
      <c r="E24" s="91" t="s">
        <v>474</v>
      </c>
      <c r="F24" s="92" t="s">
        <v>475</v>
      </c>
      <c r="G24" s="93" t="s">
        <v>476</v>
      </c>
      <c r="H24" s="94" t="s">
        <v>477</v>
      </c>
    </row>
    <row r="25" customHeight="1" spans="1:20">
      <c r="A25" s="81" t="s">
        <v>453</v>
      </c>
      <c r="B25" s="93" t="s">
        <v>511</v>
      </c>
      <c r="C25" s="93" t="s">
        <v>294</v>
      </c>
      <c r="D25" s="102">
        <v>150</v>
      </c>
      <c r="E25" s="83">
        <v>120.58</v>
      </c>
      <c r="F25" s="83">
        <v>18087</v>
      </c>
      <c r="G25" s="81">
        <v>19</v>
      </c>
      <c r="H25" s="108">
        <f>E25*0.84</f>
        <v>101.2872</v>
      </c>
    </row>
    <row r="26" customHeight="1" spans="1:20">
      <c r="A26" s="81" t="s">
        <v>455</v>
      </c>
      <c r="B26" s="93" t="s">
        <v>511</v>
      </c>
      <c r="C26" s="93" t="s">
        <v>294</v>
      </c>
      <c r="D26" s="102">
        <v>30</v>
      </c>
      <c r="E26" s="83">
        <v>98.28</v>
      </c>
      <c r="F26" s="83">
        <v>2948.4</v>
      </c>
      <c r="G26" s="81">
        <v>19</v>
      </c>
      <c r="H26" s="108">
        <f>E26*0.84</f>
        <v>82.5552</v>
      </c>
    </row>
    <row r="27" customHeight="1" spans="1:20">
      <c r="F27" s="74">
        <f>SUM(F25:F26)</f>
        <v>21035.4</v>
      </c>
    </row>
    <row r="28" customHeight="1" spans="1:20">
      <c r="F28" s="74"/>
    </row>
    <row r="29" customHeight="1" spans="1:20">
      <c r="A29" s="146" t="s">
        <v>406</v>
      </c>
      <c r="B29" s="86"/>
      <c r="C29" s="86"/>
      <c r="D29" s="147"/>
      <c r="E29" s="86"/>
      <c r="F29" s="86"/>
      <c r="G29" s="86"/>
      <c r="H29" s="148"/>
    </row>
    <row r="30" customHeight="1" spans="1:20">
      <c r="A30" s="122" t="s">
        <v>470</v>
      </c>
      <c r="B30" s="122" t="s">
        <v>471</v>
      </c>
      <c r="C30" s="122" t="s">
        <v>472</v>
      </c>
      <c r="D30" s="149" t="s">
        <v>473</v>
      </c>
      <c r="E30" s="150" t="s">
        <v>474</v>
      </c>
      <c r="F30" s="151" t="s">
        <v>475</v>
      </c>
      <c r="G30" s="122" t="s">
        <v>476</v>
      </c>
      <c r="H30" s="152" t="s">
        <v>477</v>
      </c>
    </row>
    <row r="31" customHeight="1" spans="1:20">
      <c r="A31" s="153" t="s">
        <v>404</v>
      </c>
      <c r="B31" s="81" t="s">
        <v>405</v>
      </c>
      <c r="C31" s="93" t="s">
        <v>294</v>
      </c>
      <c r="D31" s="90">
        <v>30</v>
      </c>
      <c r="E31" s="83">
        <v>12.34</v>
      </c>
      <c r="F31" s="154">
        <f>E31*D31</f>
        <v>370.2</v>
      </c>
      <c r="G31" s="93">
        <v>7</v>
      </c>
      <c r="H31" s="155">
        <f>E31*0.93</f>
        <v>11.4762</v>
      </c>
      <c r="I31" s="101" t="s">
        <v>512</v>
      </c>
    </row>
    <row r="32" customHeight="1" spans="1:20">
      <c r="A32" s="101" t="s">
        <v>513</v>
      </c>
    </row>
  </sheetData>
  <mergeCells count="8">
    <mergeCell ref="A1:H1"/>
    <mergeCell ref="K1:Q1"/>
    <mergeCell ref="T1:Y1"/>
    <mergeCell ref="A9:H9"/>
    <mergeCell ref="K10:Q10"/>
    <mergeCell ref="A16:H16"/>
    <mergeCell ref="A23:H23"/>
    <mergeCell ref="A29:H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2"/>
  <sheetViews>
    <sheetView topLeftCell="A165" workbookViewId="0">
      <selection activeCell="E185" sqref="E185"/>
    </sheetView>
  </sheetViews>
  <sheetFormatPr defaultColWidth="9.33333333333333" defaultRowHeight="12"/>
  <cols>
    <col min="1" max="1" width="9" customWidth="1"/>
    <col min="2" max="2" width="19.1666666666667" style="3" customWidth="1"/>
    <col min="3" max="3" width="30.5" style="3" customWidth="1"/>
    <col min="4" max="4" width="11.6666666666667" customWidth="1"/>
    <col min="5" max="5" width="9.33333333333333" style="2"/>
    <col min="6" max="6" width="13" style="2" customWidth="1"/>
    <col min="7" max="7" width="19.1666666666667" style="4" customWidth="1"/>
    <col min="8" max="8" width="28.6666666666667" style="5" customWidth="1"/>
    <col min="9" max="9" width="40.3333333333333" customWidth="1"/>
  </cols>
  <sheetData>
    <row r="1" ht="102" customHeight="1" spans="1:9">
      <c r="A1" s="6" t="s">
        <v>514</v>
      </c>
      <c r="B1" s="7"/>
      <c r="C1" s="7"/>
      <c r="D1" s="8"/>
      <c r="E1" s="8"/>
      <c r="F1" s="8"/>
      <c r="G1" s="9"/>
      <c r="H1" s="9"/>
      <c r="I1" s="10"/>
    </row>
    <row r="2" ht="27" spans="1:9">
      <c r="A2" s="11" t="s">
        <v>515</v>
      </c>
      <c r="B2" s="7"/>
      <c r="C2" s="7"/>
      <c r="D2" s="8"/>
      <c r="E2" s="12"/>
      <c r="F2" s="8"/>
      <c r="G2" s="9"/>
      <c r="H2" s="9"/>
      <c r="I2" s="13"/>
    </row>
    <row r="3" ht="15" spans="1:9">
      <c r="A3" s="14" t="s">
        <v>516</v>
      </c>
      <c r="B3" s="15"/>
      <c r="C3" s="15"/>
      <c r="D3" s="16"/>
      <c r="E3" s="17"/>
      <c r="F3" s="18"/>
      <c r="G3" s="19"/>
      <c r="H3" s="20" t="s">
        <v>517</v>
      </c>
      <c r="I3" s="21" t="s">
        <v>518</v>
      </c>
    </row>
    <row r="4" ht="15" spans="1:9">
      <c r="A4" s="22" t="s">
        <v>519</v>
      </c>
      <c r="B4" s="23"/>
      <c r="C4" s="23"/>
      <c r="D4" s="24"/>
      <c r="E4" s="25"/>
      <c r="F4" s="26"/>
      <c r="G4" s="27"/>
      <c r="H4" s="28" t="s">
        <v>520</v>
      </c>
      <c r="I4" s="29" t="s">
        <v>521</v>
      </c>
    </row>
    <row r="5" ht="15" spans="1:9">
      <c r="A5" s="22" t="s">
        <v>520</v>
      </c>
      <c r="B5" s="30"/>
      <c r="C5" s="30"/>
      <c r="D5" s="24"/>
      <c r="E5" s="25"/>
      <c r="F5" s="26"/>
      <c r="G5" s="27"/>
      <c r="H5" s="28" t="s">
        <v>522</v>
      </c>
      <c r="I5" s="31" t="s">
        <v>523</v>
      </c>
    </row>
    <row r="6" ht="15.75" spans="1:9">
      <c r="A6" s="32" t="s">
        <v>524</v>
      </c>
      <c r="B6" s="33"/>
      <c r="C6" s="33"/>
      <c r="D6" s="34"/>
      <c r="E6" s="35"/>
      <c r="F6" s="36"/>
      <c r="G6" s="37"/>
      <c r="H6" s="38" t="s">
        <v>525</v>
      </c>
      <c r="I6" s="256" t="s">
        <v>526</v>
      </c>
    </row>
    <row r="7" s="1" customFormat="1" ht="37.5" spans="1:9">
      <c r="A7" s="40" t="s">
        <v>527</v>
      </c>
      <c r="B7" s="41" t="s">
        <v>528</v>
      </c>
      <c r="C7" s="40" t="s">
        <v>529</v>
      </c>
      <c r="D7" s="42" t="s">
        <v>530</v>
      </c>
      <c r="E7" s="42" t="s">
        <v>531</v>
      </c>
      <c r="F7" s="42" t="s">
        <v>532</v>
      </c>
      <c r="G7" s="43" t="s">
        <v>533</v>
      </c>
      <c r="H7" s="43" t="s">
        <v>534</v>
      </c>
      <c r="I7" s="44" t="s">
        <v>535</v>
      </c>
    </row>
    <row r="8" ht="24" spans="1:9">
      <c r="A8" s="45">
        <v>1</v>
      </c>
      <c r="B8" s="46" t="s">
        <v>7</v>
      </c>
      <c r="C8" s="46" t="s">
        <v>8</v>
      </c>
      <c r="D8" s="47" t="s">
        <v>536</v>
      </c>
      <c r="E8" s="48">
        <v>3</v>
      </c>
      <c r="F8" s="49" t="s">
        <v>275</v>
      </c>
      <c r="G8" s="50">
        <v>6013.98</v>
      </c>
      <c r="H8" s="50">
        <f t="shared" ref="H8:H18" si="0">G8*E8</f>
        <v>18041.94</v>
      </c>
      <c r="I8" s="51"/>
    </row>
    <row r="9" ht="24" spans="1:9">
      <c r="A9" s="45">
        <v>2</v>
      </c>
      <c r="B9" s="46" t="s">
        <v>10</v>
      </c>
      <c r="C9" s="46" t="s">
        <v>11</v>
      </c>
      <c r="D9" s="47" t="s">
        <v>537</v>
      </c>
      <c r="E9" s="48">
        <v>16</v>
      </c>
      <c r="F9" s="49" t="s">
        <v>275</v>
      </c>
      <c r="G9" s="50">
        <v>6272</v>
      </c>
      <c r="H9" s="50">
        <f t="shared" si="0"/>
        <v>100352</v>
      </c>
      <c r="I9" s="51"/>
    </row>
    <row r="10" ht="36" spans="1:9">
      <c r="A10" s="45">
        <v>3</v>
      </c>
      <c r="B10" s="46" t="s">
        <v>12</v>
      </c>
      <c r="C10" s="46" t="s">
        <v>13</v>
      </c>
      <c r="D10" s="47" t="s">
        <v>536</v>
      </c>
      <c r="E10" s="48">
        <v>5</v>
      </c>
      <c r="F10" s="49" t="s">
        <v>275</v>
      </c>
      <c r="G10" s="50">
        <v>10246.32</v>
      </c>
      <c r="H10" s="50">
        <f t="shared" si="0"/>
        <v>51231.6</v>
      </c>
      <c r="I10" s="51"/>
    </row>
    <row r="11" ht="48" spans="1:9">
      <c r="A11" s="45">
        <v>4</v>
      </c>
      <c r="B11" s="46" t="s">
        <v>14</v>
      </c>
      <c r="C11" s="46" t="s">
        <v>15</v>
      </c>
      <c r="D11" s="47" t="s">
        <v>537</v>
      </c>
      <c r="E11" s="48">
        <v>20</v>
      </c>
      <c r="F11" s="49" t="s">
        <v>275</v>
      </c>
      <c r="G11" s="50">
        <v>10455</v>
      </c>
      <c r="H11" s="50">
        <f t="shared" si="0"/>
        <v>209100</v>
      </c>
      <c r="I11" s="51"/>
    </row>
    <row r="12" ht="48" spans="1:9">
      <c r="A12" s="45">
        <v>5</v>
      </c>
      <c r="B12" s="46" t="s">
        <v>16</v>
      </c>
      <c r="C12" s="46" t="s">
        <v>17</v>
      </c>
      <c r="D12" s="47" t="s">
        <v>537</v>
      </c>
      <c r="E12" s="48">
        <v>4</v>
      </c>
      <c r="F12" s="49" t="s">
        <v>275</v>
      </c>
      <c r="G12" s="50">
        <v>10455</v>
      </c>
      <c r="H12" s="50">
        <f t="shared" si="0"/>
        <v>41820</v>
      </c>
      <c r="I12" s="52"/>
    </row>
    <row r="13" ht="24" spans="1:9">
      <c r="A13" s="45">
        <v>6</v>
      </c>
      <c r="B13" s="46" t="s">
        <v>18</v>
      </c>
      <c r="C13" s="46" t="s">
        <v>19</v>
      </c>
      <c r="D13" s="47" t="s">
        <v>536</v>
      </c>
      <c r="E13" s="48">
        <v>2</v>
      </c>
      <c r="F13" s="49" t="s">
        <v>275</v>
      </c>
      <c r="G13" s="50">
        <v>4107.1312</v>
      </c>
      <c r="H13" s="50">
        <f t="shared" si="0"/>
        <v>8214.2624</v>
      </c>
      <c r="I13" s="51"/>
    </row>
    <row r="14" ht="24" spans="1:9">
      <c r="A14" s="45">
        <v>7</v>
      </c>
      <c r="B14" s="46" t="s">
        <v>20</v>
      </c>
      <c r="C14" s="46" t="s">
        <v>21</v>
      </c>
      <c r="D14" s="47" t="s">
        <v>536</v>
      </c>
      <c r="E14" s="48">
        <v>60</v>
      </c>
      <c r="F14" s="49" t="s">
        <v>275</v>
      </c>
      <c r="G14" s="50">
        <v>3120.9391</v>
      </c>
      <c r="H14" s="50">
        <f t="shared" si="0"/>
        <v>187256.346</v>
      </c>
      <c r="I14" s="51"/>
    </row>
    <row r="15" ht="36" spans="1:9">
      <c r="A15" s="45">
        <v>8</v>
      </c>
      <c r="B15" s="53">
        <v>3914407</v>
      </c>
      <c r="C15" s="46" t="s">
        <v>22</v>
      </c>
      <c r="D15" s="47" t="s">
        <v>536</v>
      </c>
      <c r="E15" s="48">
        <v>80</v>
      </c>
      <c r="F15" s="49" t="s">
        <v>291</v>
      </c>
      <c r="G15" s="50">
        <v>7.667</v>
      </c>
      <c r="H15" s="50">
        <f t="shared" si="0"/>
        <v>613.36</v>
      </c>
      <c r="I15" s="52"/>
    </row>
    <row r="16" ht="36" spans="1:9">
      <c r="A16" s="45">
        <v>9</v>
      </c>
      <c r="B16" s="53">
        <v>3902023</v>
      </c>
      <c r="C16" s="46" t="s">
        <v>23</v>
      </c>
      <c r="D16" s="47" t="s">
        <v>536</v>
      </c>
      <c r="E16" s="48">
        <v>100</v>
      </c>
      <c r="F16" s="49" t="s">
        <v>275</v>
      </c>
      <c r="G16" s="50">
        <v>1.26</v>
      </c>
      <c r="H16" s="50">
        <f t="shared" si="0"/>
        <v>126</v>
      </c>
      <c r="I16" s="51"/>
    </row>
    <row r="17" ht="36" spans="1:9">
      <c r="A17" s="45">
        <v>10</v>
      </c>
      <c r="B17" s="53">
        <v>3903834</v>
      </c>
      <c r="C17" s="46" t="s">
        <v>24</v>
      </c>
      <c r="D17" s="47" t="s">
        <v>536</v>
      </c>
      <c r="E17" s="48">
        <v>100</v>
      </c>
      <c r="F17" s="49" t="s">
        <v>275</v>
      </c>
      <c r="G17" s="50">
        <v>3.08</v>
      </c>
      <c r="H17" s="50">
        <f t="shared" si="0"/>
        <v>308</v>
      </c>
      <c r="I17" s="52"/>
    </row>
    <row r="18" ht="36" spans="1:9">
      <c r="A18" s="45">
        <v>11</v>
      </c>
      <c r="B18" s="53">
        <v>3900632</v>
      </c>
      <c r="C18" s="46" t="s">
        <v>25</v>
      </c>
      <c r="D18" s="47" t="s">
        <v>536</v>
      </c>
      <c r="E18" s="48">
        <v>300</v>
      </c>
      <c r="F18" s="49" t="s">
        <v>275</v>
      </c>
      <c r="G18" s="50">
        <v>1.38</v>
      </c>
      <c r="H18" s="50">
        <f t="shared" si="0"/>
        <v>414</v>
      </c>
      <c r="I18" s="52"/>
    </row>
    <row r="19" ht="24" spans="1:9">
      <c r="A19" s="45">
        <v>12</v>
      </c>
      <c r="B19" s="46" t="s">
        <v>26</v>
      </c>
      <c r="C19" s="46" t="s">
        <v>27</v>
      </c>
      <c r="D19" s="47" t="s">
        <v>536</v>
      </c>
      <c r="E19" s="48">
        <v>60</v>
      </c>
      <c r="F19" s="49" t="s">
        <v>275</v>
      </c>
      <c r="G19" s="50">
        <v>1106.1224</v>
      </c>
      <c r="H19" s="50">
        <f t="shared" ref="H19:H50" si="1">G19*E19</f>
        <v>66367.344</v>
      </c>
      <c r="I19" s="54"/>
    </row>
    <row r="20" ht="24" spans="1:9">
      <c r="A20" s="45">
        <v>13</v>
      </c>
      <c r="B20" s="53">
        <v>5404057</v>
      </c>
      <c r="C20" s="46" t="s">
        <v>28</v>
      </c>
      <c r="D20" s="47" t="s">
        <v>536</v>
      </c>
      <c r="E20" s="48">
        <v>10</v>
      </c>
      <c r="F20" s="49" t="s">
        <v>275</v>
      </c>
      <c r="G20" s="50">
        <v>29.665</v>
      </c>
      <c r="H20" s="50">
        <f t="shared" si="1"/>
        <v>296.65</v>
      </c>
      <c r="I20" s="52"/>
    </row>
    <row r="21" ht="24" spans="1:9">
      <c r="A21" s="45">
        <v>14</v>
      </c>
      <c r="B21" s="53">
        <v>5267994</v>
      </c>
      <c r="C21" s="46" t="s">
        <v>29</v>
      </c>
      <c r="D21" s="47" t="s">
        <v>536</v>
      </c>
      <c r="E21" s="48">
        <v>50</v>
      </c>
      <c r="F21" s="49" t="s">
        <v>275</v>
      </c>
      <c r="G21" s="50">
        <v>194.7576</v>
      </c>
      <c r="H21" s="50">
        <f t="shared" si="1"/>
        <v>9737.88</v>
      </c>
      <c r="I21" s="52"/>
    </row>
    <row r="22" ht="36" spans="1:9">
      <c r="A22" s="45">
        <v>15</v>
      </c>
      <c r="B22" s="53">
        <v>4996250</v>
      </c>
      <c r="C22" s="46" t="s">
        <v>30</v>
      </c>
      <c r="D22" s="47" t="s">
        <v>536</v>
      </c>
      <c r="E22" s="48">
        <v>400</v>
      </c>
      <c r="F22" s="49" t="s">
        <v>275</v>
      </c>
      <c r="G22" s="50">
        <v>6.2416</v>
      </c>
      <c r="H22" s="50">
        <f t="shared" si="1"/>
        <v>2496.64</v>
      </c>
      <c r="I22" s="51"/>
    </row>
    <row r="23" ht="36" spans="1:9">
      <c r="A23" s="45">
        <v>16</v>
      </c>
      <c r="B23" s="53">
        <v>4946030</v>
      </c>
      <c r="C23" s="46" t="s">
        <v>31</v>
      </c>
      <c r="D23" s="47" t="s">
        <v>536</v>
      </c>
      <c r="E23" s="48">
        <v>500</v>
      </c>
      <c r="F23" s="49" t="s">
        <v>275</v>
      </c>
      <c r="G23" s="50">
        <v>5.727</v>
      </c>
      <c r="H23" s="50">
        <f t="shared" si="1"/>
        <v>2863.5</v>
      </c>
      <c r="I23" s="52"/>
    </row>
    <row r="24" ht="36" spans="1:9">
      <c r="A24" s="45">
        <v>17</v>
      </c>
      <c r="B24" s="53">
        <v>4946031</v>
      </c>
      <c r="C24" s="46" t="s">
        <v>32</v>
      </c>
      <c r="D24" s="47" t="s">
        <v>536</v>
      </c>
      <c r="E24" s="48">
        <v>100</v>
      </c>
      <c r="F24" s="49" t="s">
        <v>275</v>
      </c>
      <c r="G24" s="50">
        <v>20.791</v>
      </c>
      <c r="H24" s="50">
        <f t="shared" si="1"/>
        <v>2079.1</v>
      </c>
      <c r="I24" s="51"/>
    </row>
    <row r="25" ht="36" spans="1:9">
      <c r="A25" s="45">
        <v>18</v>
      </c>
      <c r="B25" s="46" t="s">
        <v>33</v>
      </c>
      <c r="C25" s="46" t="s">
        <v>34</v>
      </c>
      <c r="D25" s="47" t="s">
        <v>536</v>
      </c>
      <c r="E25" s="48">
        <v>400</v>
      </c>
      <c r="F25" s="49" t="s">
        <v>275</v>
      </c>
      <c r="G25" s="50">
        <v>19.4054</v>
      </c>
      <c r="H25" s="50">
        <f t="shared" si="1"/>
        <v>7762.16</v>
      </c>
      <c r="I25" s="51"/>
    </row>
    <row r="26" ht="36" spans="1:9">
      <c r="A26" s="45">
        <v>19</v>
      </c>
      <c r="B26" s="46" t="s">
        <v>35</v>
      </c>
      <c r="C26" s="46" t="s">
        <v>36</v>
      </c>
      <c r="D26" s="47" t="s">
        <v>536</v>
      </c>
      <c r="E26" s="48">
        <v>400</v>
      </c>
      <c r="F26" s="49" t="s">
        <v>275</v>
      </c>
      <c r="G26" s="50">
        <v>7.4617</v>
      </c>
      <c r="H26" s="50">
        <f t="shared" si="1"/>
        <v>2984.68</v>
      </c>
      <c r="I26" s="51"/>
    </row>
    <row r="27" ht="24" spans="1:9">
      <c r="A27" s="45">
        <v>20</v>
      </c>
      <c r="B27" s="53">
        <v>4995863</v>
      </c>
      <c r="C27" s="46" t="s">
        <v>37</v>
      </c>
      <c r="D27" s="47" t="s">
        <v>536</v>
      </c>
      <c r="E27" s="48">
        <v>20</v>
      </c>
      <c r="F27" s="49" t="s">
        <v>275</v>
      </c>
      <c r="G27" s="50">
        <v>7.5905</v>
      </c>
      <c r="H27" s="50">
        <f t="shared" si="1"/>
        <v>151.81</v>
      </c>
      <c r="I27" s="52"/>
    </row>
    <row r="28" ht="24" spans="1:9">
      <c r="A28" s="45">
        <v>21</v>
      </c>
      <c r="B28" s="53">
        <v>5272634</v>
      </c>
      <c r="C28" s="46" t="s">
        <v>38</v>
      </c>
      <c r="D28" s="47" t="s">
        <v>536</v>
      </c>
      <c r="E28" s="48">
        <v>3</v>
      </c>
      <c r="F28" s="49" t="s">
        <v>275</v>
      </c>
      <c r="G28" s="50">
        <v>712.5272</v>
      </c>
      <c r="H28" s="50">
        <f t="shared" si="1"/>
        <v>2137.5816</v>
      </c>
      <c r="I28" s="52"/>
    </row>
    <row r="29" ht="24" spans="1:9">
      <c r="A29" s="45">
        <v>22</v>
      </c>
      <c r="B29" s="46" t="s">
        <v>39</v>
      </c>
      <c r="C29" s="46" t="s">
        <v>40</v>
      </c>
      <c r="D29" s="47" t="s">
        <v>536</v>
      </c>
      <c r="E29" s="48">
        <v>10</v>
      </c>
      <c r="F29" s="49" t="s">
        <v>275</v>
      </c>
      <c r="G29" s="50">
        <v>478.5396</v>
      </c>
      <c r="H29" s="50">
        <f t="shared" si="1"/>
        <v>4785.396</v>
      </c>
      <c r="I29" s="54"/>
    </row>
    <row r="30" ht="36" spans="1:9">
      <c r="A30" s="45">
        <v>23</v>
      </c>
      <c r="B30" s="46" t="s">
        <v>41</v>
      </c>
      <c r="C30" s="46" t="s">
        <v>42</v>
      </c>
      <c r="D30" s="47" t="s">
        <v>536</v>
      </c>
      <c r="E30" s="48">
        <v>10</v>
      </c>
      <c r="F30" s="49" t="s">
        <v>275</v>
      </c>
      <c r="G30" s="50">
        <v>729.6655</v>
      </c>
      <c r="H30" s="50">
        <f t="shared" si="1"/>
        <v>7296.655</v>
      </c>
      <c r="I30" s="51"/>
    </row>
    <row r="31" ht="24" spans="1:9">
      <c r="A31" s="45">
        <v>24</v>
      </c>
      <c r="B31" s="46" t="s">
        <v>43</v>
      </c>
      <c r="C31" s="46" t="s">
        <v>44</v>
      </c>
      <c r="D31" s="47" t="s">
        <v>536</v>
      </c>
      <c r="E31" s="48">
        <v>1</v>
      </c>
      <c r="F31" s="49" t="s">
        <v>275</v>
      </c>
      <c r="G31" s="50">
        <v>2789.9144</v>
      </c>
      <c r="H31" s="50">
        <f t="shared" si="1"/>
        <v>2789.9144</v>
      </c>
      <c r="I31" s="52"/>
    </row>
    <row r="32" ht="24" spans="1:9">
      <c r="A32" s="45">
        <v>25</v>
      </c>
      <c r="B32" s="46" t="s">
        <v>45</v>
      </c>
      <c r="C32" s="46" t="s">
        <v>46</v>
      </c>
      <c r="D32" s="47" t="s">
        <v>536</v>
      </c>
      <c r="E32" s="48">
        <v>24</v>
      </c>
      <c r="F32" s="49" t="s">
        <v>275</v>
      </c>
      <c r="G32" s="50">
        <v>2695.7199945</v>
      </c>
      <c r="H32" s="50">
        <f t="shared" si="1"/>
        <v>64697.279868</v>
      </c>
      <c r="I32" s="51"/>
    </row>
    <row r="33" ht="48" spans="1:9">
      <c r="A33" s="45">
        <v>26</v>
      </c>
      <c r="B33" s="46" t="s">
        <v>47</v>
      </c>
      <c r="C33" s="46" t="s">
        <v>48</v>
      </c>
      <c r="D33" s="47" t="s">
        <v>536</v>
      </c>
      <c r="E33" s="48">
        <v>20</v>
      </c>
      <c r="F33" s="49" t="s">
        <v>275</v>
      </c>
      <c r="G33" s="50">
        <v>73.065762</v>
      </c>
      <c r="H33" s="50">
        <f t="shared" si="1"/>
        <v>1461.31524</v>
      </c>
      <c r="I33" s="51"/>
    </row>
    <row r="34" ht="48" spans="1:9">
      <c r="A34" s="45">
        <v>27</v>
      </c>
      <c r="B34" s="53">
        <v>5491326</v>
      </c>
      <c r="C34" s="46" t="s">
        <v>49</v>
      </c>
      <c r="D34" s="47" t="s">
        <v>536</v>
      </c>
      <c r="E34" s="48">
        <v>20</v>
      </c>
      <c r="F34" s="49" t="s">
        <v>275</v>
      </c>
      <c r="G34" s="50">
        <v>43.8823</v>
      </c>
      <c r="H34" s="50">
        <f t="shared" si="1"/>
        <v>877.646</v>
      </c>
      <c r="I34" s="51"/>
    </row>
    <row r="35" ht="36" spans="1:9">
      <c r="A35" s="45">
        <v>28</v>
      </c>
      <c r="B35" s="53">
        <v>5313379</v>
      </c>
      <c r="C35" s="46" t="s">
        <v>50</v>
      </c>
      <c r="D35" s="47" t="s">
        <v>536</v>
      </c>
      <c r="E35" s="48">
        <v>2</v>
      </c>
      <c r="F35" s="49" t="s">
        <v>275</v>
      </c>
      <c r="G35" s="50">
        <v>591.503528</v>
      </c>
      <c r="H35" s="50">
        <f t="shared" si="1"/>
        <v>1183.007056</v>
      </c>
      <c r="I35" s="51"/>
    </row>
    <row r="36" ht="24" spans="1:9">
      <c r="A36" s="45">
        <v>29</v>
      </c>
      <c r="B36" s="46" t="s">
        <v>51</v>
      </c>
      <c r="C36" s="46" t="s">
        <v>52</v>
      </c>
      <c r="D36" s="47" t="s">
        <v>536</v>
      </c>
      <c r="E36" s="48">
        <v>4</v>
      </c>
      <c r="F36" s="49" t="s">
        <v>275</v>
      </c>
      <c r="G36" s="50">
        <v>563.012758</v>
      </c>
      <c r="H36" s="50">
        <f t="shared" si="1"/>
        <v>2252.051032</v>
      </c>
      <c r="I36" s="51"/>
    </row>
    <row r="37" ht="24" spans="1:9">
      <c r="A37" s="45">
        <v>30</v>
      </c>
      <c r="B37" s="53">
        <v>3920706</v>
      </c>
      <c r="C37" s="46" t="s">
        <v>53</v>
      </c>
      <c r="D37" s="47" t="s">
        <v>536</v>
      </c>
      <c r="E37" s="48">
        <v>700</v>
      </c>
      <c r="F37" s="49" t="s">
        <v>275</v>
      </c>
      <c r="G37" s="50">
        <v>2</v>
      </c>
      <c r="H37" s="50">
        <f t="shared" si="1"/>
        <v>1400</v>
      </c>
      <c r="I37" s="55"/>
    </row>
    <row r="38" ht="48" spans="1:9">
      <c r="A38" s="45">
        <v>31</v>
      </c>
      <c r="B38" s="53">
        <v>5302031</v>
      </c>
      <c r="C38" s="46" t="s">
        <v>54</v>
      </c>
      <c r="D38" s="47" t="s">
        <v>536</v>
      </c>
      <c r="E38" s="48">
        <v>7</v>
      </c>
      <c r="F38" s="49" t="s">
        <v>275</v>
      </c>
      <c r="G38" s="50">
        <v>437.8143</v>
      </c>
      <c r="H38" s="50">
        <f t="shared" si="1"/>
        <v>3064.7001</v>
      </c>
      <c r="I38" s="56"/>
    </row>
    <row r="39" ht="36" spans="1:9">
      <c r="A39" s="45">
        <v>32</v>
      </c>
      <c r="B39" s="53">
        <v>5302123</v>
      </c>
      <c r="C39" s="46" t="s">
        <v>55</v>
      </c>
      <c r="D39" s="47" t="s">
        <v>536</v>
      </c>
      <c r="E39" s="48">
        <v>60</v>
      </c>
      <c r="F39" s="49" t="s">
        <v>275</v>
      </c>
      <c r="G39" s="57">
        <v>227.0652</v>
      </c>
      <c r="H39" s="50">
        <f t="shared" si="1"/>
        <v>13623.912</v>
      </c>
      <c r="I39" s="58"/>
    </row>
    <row r="40" ht="24" spans="1:9">
      <c r="A40" s="45">
        <v>33</v>
      </c>
      <c r="B40" s="53">
        <v>5369836</v>
      </c>
      <c r="C40" s="46" t="s">
        <v>56</v>
      </c>
      <c r="D40" s="47" t="s">
        <v>536</v>
      </c>
      <c r="E40" s="48">
        <v>15</v>
      </c>
      <c r="F40" s="49" t="s">
        <v>275</v>
      </c>
      <c r="G40" s="57">
        <v>345.55752</v>
      </c>
      <c r="H40" s="50">
        <f t="shared" si="1"/>
        <v>5183.3628</v>
      </c>
      <c r="I40" s="58"/>
    </row>
    <row r="41" ht="24" spans="1:9">
      <c r="A41" s="45">
        <v>34</v>
      </c>
      <c r="B41" s="46" t="s">
        <v>57</v>
      </c>
      <c r="C41" s="46" t="s">
        <v>58</v>
      </c>
      <c r="D41" s="47" t="s">
        <v>536</v>
      </c>
      <c r="E41" s="48">
        <v>128</v>
      </c>
      <c r="F41" s="49" t="s">
        <v>275</v>
      </c>
      <c r="G41" s="57">
        <v>11.6532</v>
      </c>
      <c r="H41" s="50">
        <f t="shared" si="1"/>
        <v>1491.6096</v>
      </c>
      <c r="I41" s="58"/>
    </row>
    <row r="42" ht="24" spans="1:9">
      <c r="A42" s="45">
        <v>35</v>
      </c>
      <c r="B42" s="46" t="s">
        <v>59</v>
      </c>
      <c r="C42" s="46" t="s">
        <v>60</v>
      </c>
      <c r="D42" s="47" t="s">
        <v>536</v>
      </c>
      <c r="E42" s="48">
        <v>30</v>
      </c>
      <c r="F42" s="49" t="s">
        <v>275</v>
      </c>
      <c r="G42" s="57">
        <v>198.6771</v>
      </c>
      <c r="H42" s="50">
        <f t="shared" si="1"/>
        <v>5960.313</v>
      </c>
      <c r="I42" s="58"/>
    </row>
    <row r="43" ht="24" spans="1:9">
      <c r="A43" s="45">
        <v>36</v>
      </c>
      <c r="B43" s="53">
        <v>4988653</v>
      </c>
      <c r="C43" s="46" t="s">
        <v>61</v>
      </c>
      <c r="D43" s="47" t="s">
        <v>536</v>
      </c>
      <c r="E43" s="48">
        <v>14</v>
      </c>
      <c r="F43" s="49" t="s">
        <v>275</v>
      </c>
      <c r="G43" s="57">
        <v>142.6964</v>
      </c>
      <c r="H43" s="50">
        <f t="shared" si="1"/>
        <v>1997.7496</v>
      </c>
      <c r="I43" s="58"/>
    </row>
    <row r="44" ht="24" spans="1:9">
      <c r="A44" s="45">
        <v>37</v>
      </c>
      <c r="B44" s="53">
        <v>5286927</v>
      </c>
      <c r="C44" s="46" t="s">
        <v>62</v>
      </c>
      <c r="D44" s="47" t="s">
        <v>536</v>
      </c>
      <c r="E44" s="48">
        <v>10</v>
      </c>
      <c r="F44" s="49" t="s">
        <v>275</v>
      </c>
      <c r="G44" s="57">
        <v>183.7143</v>
      </c>
      <c r="H44" s="50">
        <f t="shared" si="1"/>
        <v>1837.143</v>
      </c>
      <c r="I44" s="58"/>
    </row>
    <row r="45" ht="15.75" spans="1:9">
      <c r="A45" s="45">
        <v>38</v>
      </c>
      <c r="B45" s="46" t="s">
        <v>63</v>
      </c>
      <c r="C45" s="46" t="s">
        <v>64</v>
      </c>
      <c r="D45" s="47" t="s">
        <v>536</v>
      </c>
      <c r="E45" s="48">
        <v>160</v>
      </c>
      <c r="F45" s="49" t="s">
        <v>275</v>
      </c>
      <c r="G45" s="57">
        <v>3.58</v>
      </c>
      <c r="H45" s="50">
        <f t="shared" si="1"/>
        <v>572.8</v>
      </c>
      <c r="I45" s="58"/>
    </row>
    <row r="46" ht="24" spans="1:9">
      <c r="A46" s="45">
        <v>39</v>
      </c>
      <c r="B46" s="46" t="s">
        <v>65</v>
      </c>
      <c r="C46" s="46" t="s">
        <v>66</v>
      </c>
      <c r="D46" s="47" t="s">
        <v>536</v>
      </c>
      <c r="E46" s="48">
        <v>544</v>
      </c>
      <c r="F46" s="49" t="s">
        <v>275</v>
      </c>
      <c r="G46" s="57">
        <v>3.22</v>
      </c>
      <c r="H46" s="50">
        <f t="shared" si="1"/>
        <v>1751.68</v>
      </c>
      <c r="I46" s="58"/>
    </row>
    <row r="47" ht="24" spans="1:9">
      <c r="A47" s="45">
        <v>40</v>
      </c>
      <c r="B47" s="46" t="s">
        <v>67</v>
      </c>
      <c r="C47" s="46" t="s">
        <v>68</v>
      </c>
      <c r="D47" s="47" t="s">
        <v>536</v>
      </c>
      <c r="E47" s="48">
        <v>700</v>
      </c>
      <c r="F47" s="49" t="s">
        <v>275</v>
      </c>
      <c r="G47" s="57">
        <v>4.47</v>
      </c>
      <c r="H47" s="50">
        <f t="shared" si="1"/>
        <v>3129</v>
      </c>
      <c r="I47" s="58"/>
    </row>
    <row r="48" ht="48" spans="1:9">
      <c r="A48" s="45">
        <v>41</v>
      </c>
      <c r="B48" s="46" t="s">
        <v>69</v>
      </c>
      <c r="C48" s="46" t="s">
        <v>70</v>
      </c>
      <c r="D48" s="47" t="s">
        <v>536</v>
      </c>
      <c r="E48" s="48">
        <v>100</v>
      </c>
      <c r="F48" s="49" t="s">
        <v>275</v>
      </c>
      <c r="G48" s="57">
        <v>1.76</v>
      </c>
      <c r="H48" s="50">
        <f t="shared" si="1"/>
        <v>176</v>
      </c>
      <c r="I48" s="58"/>
    </row>
    <row r="49" ht="36" spans="1:9">
      <c r="A49" s="45">
        <v>42</v>
      </c>
      <c r="B49" s="46" t="s">
        <v>71</v>
      </c>
      <c r="C49" s="46" t="s">
        <v>72</v>
      </c>
      <c r="D49" s="47" t="s">
        <v>536</v>
      </c>
      <c r="E49" s="48">
        <v>500</v>
      </c>
      <c r="F49" s="49" t="s">
        <v>275</v>
      </c>
      <c r="G49" s="57">
        <v>0.95</v>
      </c>
      <c r="H49" s="50">
        <f t="shared" si="1"/>
        <v>475</v>
      </c>
      <c r="I49" s="58"/>
    </row>
    <row r="50" ht="36" spans="1:9">
      <c r="A50" s="45">
        <v>43</v>
      </c>
      <c r="B50" s="53">
        <v>3940386</v>
      </c>
      <c r="C50" s="46" t="s">
        <v>73</v>
      </c>
      <c r="D50" s="47" t="s">
        <v>536</v>
      </c>
      <c r="E50" s="48">
        <v>50</v>
      </c>
      <c r="F50" s="49" t="s">
        <v>275</v>
      </c>
      <c r="G50" s="57">
        <v>8.9675</v>
      </c>
      <c r="H50" s="50">
        <f t="shared" si="1"/>
        <v>448.375</v>
      </c>
      <c r="I50" s="58"/>
    </row>
    <row r="51" ht="24" spans="1:9">
      <c r="A51" s="45">
        <v>44</v>
      </c>
      <c r="B51" s="53">
        <v>4995185</v>
      </c>
      <c r="C51" s="46" t="s">
        <v>74</v>
      </c>
      <c r="D51" s="47" t="s">
        <v>536</v>
      </c>
      <c r="E51" s="48">
        <v>200</v>
      </c>
      <c r="F51" s="49" t="s">
        <v>275</v>
      </c>
      <c r="G51" s="57">
        <v>3.66</v>
      </c>
      <c r="H51" s="50">
        <f t="shared" ref="H51:H86" si="2">G51*E51</f>
        <v>732</v>
      </c>
      <c r="I51" s="59"/>
    </row>
    <row r="52" ht="36" spans="1:9">
      <c r="A52" s="45">
        <v>45</v>
      </c>
      <c r="B52" s="53">
        <v>5265277</v>
      </c>
      <c r="C52" s="46" t="s">
        <v>75</v>
      </c>
      <c r="D52" s="47" t="s">
        <v>536</v>
      </c>
      <c r="E52" s="48">
        <v>300</v>
      </c>
      <c r="F52" s="49" t="s">
        <v>275</v>
      </c>
      <c r="G52" s="57">
        <v>3.59</v>
      </c>
      <c r="H52" s="50">
        <f t="shared" si="2"/>
        <v>1077</v>
      </c>
      <c r="I52" s="58"/>
    </row>
    <row r="53" ht="36" spans="1:9">
      <c r="A53" s="45">
        <v>46</v>
      </c>
      <c r="B53" s="46" t="s">
        <v>76</v>
      </c>
      <c r="C53" s="46" t="s">
        <v>77</v>
      </c>
      <c r="D53" s="47" t="s">
        <v>536</v>
      </c>
      <c r="E53" s="48">
        <v>3</v>
      </c>
      <c r="F53" s="60" t="s">
        <v>291</v>
      </c>
      <c r="G53" s="57">
        <v>292.043</v>
      </c>
      <c r="H53" s="50">
        <f t="shared" si="2"/>
        <v>876.129</v>
      </c>
      <c r="I53" s="58"/>
    </row>
    <row r="54" ht="36" spans="1:9">
      <c r="A54" s="45">
        <v>47</v>
      </c>
      <c r="B54" s="46" t="s">
        <v>79</v>
      </c>
      <c r="C54" s="46" t="s">
        <v>80</v>
      </c>
      <c r="D54" s="47" t="s">
        <v>537</v>
      </c>
      <c r="E54" s="48">
        <v>20</v>
      </c>
      <c r="F54" s="60" t="s">
        <v>291</v>
      </c>
      <c r="G54" s="57">
        <v>140</v>
      </c>
      <c r="H54" s="50">
        <f t="shared" si="2"/>
        <v>2800</v>
      </c>
      <c r="I54" s="58"/>
    </row>
    <row r="55" ht="24" spans="1:9">
      <c r="A55" s="45">
        <v>48</v>
      </c>
      <c r="B55" s="46" t="s">
        <v>81</v>
      </c>
      <c r="C55" s="46" t="s">
        <v>82</v>
      </c>
      <c r="D55" s="47" t="s">
        <v>536</v>
      </c>
      <c r="E55" s="48">
        <v>5</v>
      </c>
      <c r="F55" s="60" t="s">
        <v>291</v>
      </c>
      <c r="G55" s="57">
        <v>292.043</v>
      </c>
      <c r="H55" s="50">
        <f t="shared" si="2"/>
        <v>1460.215</v>
      </c>
      <c r="I55" s="58"/>
    </row>
    <row r="56" ht="36" spans="1:9">
      <c r="A56" s="45">
        <v>49</v>
      </c>
      <c r="B56" s="46" t="s">
        <v>83</v>
      </c>
      <c r="C56" s="46" t="s">
        <v>84</v>
      </c>
      <c r="D56" s="47" t="s">
        <v>536</v>
      </c>
      <c r="E56" s="48">
        <v>70</v>
      </c>
      <c r="F56" s="60" t="s">
        <v>291</v>
      </c>
      <c r="G56" s="57">
        <v>317.0112</v>
      </c>
      <c r="H56" s="50">
        <f t="shared" si="2"/>
        <v>22190.784</v>
      </c>
      <c r="I56" s="58"/>
    </row>
    <row r="57" ht="36" spans="1:9">
      <c r="A57" s="45">
        <v>50</v>
      </c>
      <c r="B57" s="46" t="s">
        <v>85</v>
      </c>
      <c r="C57" s="46" t="s">
        <v>86</v>
      </c>
      <c r="D57" s="47" t="s">
        <v>536</v>
      </c>
      <c r="E57" s="48">
        <v>8</v>
      </c>
      <c r="F57" s="60" t="s">
        <v>291</v>
      </c>
      <c r="G57" s="57">
        <v>417.2784</v>
      </c>
      <c r="H57" s="50">
        <f t="shared" si="2"/>
        <v>3338.2272</v>
      </c>
      <c r="I57" s="58"/>
    </row>
    <row r="58" ht="36" spans="1:9">
      <c r="A58" s="45">
        <v>51</v>
      </c>
      <c r="B58" s="46" t="s">
        <v>87</v>
      </c>
      <c r="C58" s="46" t="s">
        <v>88</v>
      </c>
      <c r="D58" s="47" t="s">
        <v>536</v>
      </c>
      <c r="E58" s="48">
        <v>10</v>
      </c>
      <c r="F58" s="60" t="s">
        <v>275</v>
      </c>
      <c r="G58" s="57">
        <v>883.421</v>
      </c>
      <c r="H58" s="50">
        <f t="shared" si="2"/>
        <v>8834.21</v>
      </c>
      <c r="I58" s="61" t="s">
        <v>538</v>
      </c>
    </row>
    <row r="59" ht="15.75" spans="1:9">
      <c r="A59" s="45">
        <v>52</v>
      </c>
      <c r="B59" s="46" t="s">
        <v>89</v>
      </c>
      <c r="C59" s="46" t="s">
        <v>90</v>
      </c>
      <c r="D59" s="47" t="s">
        <v>536</v>
      </c>
      <c r="E59" s="48">
        <v>36</v>
      </c>
      <c r="F59" s="60" t="s">
        <v>275</v>
      </c>
      <c r="G59" s="57">
        <v>14.2205</v>
      </c>
      <c r="H59" s="50">
        <f t="shared" si="2"/>
        <v>511.938</v>
      </c>
      <c r="I59" s="58"/>
    </row>
    <row r="60" ht="24" spans="1:9">
      <c r="A60" s="45">
        <v>53</v>
      </c>
      <c r="B60" s="53">
        <v>5271540</v>
      </c>
      <c r="C60" s="46" t="s">
        <v>91</v>
      </c>
      <c r="D60" s="47" t="s">
        <v>536</v>
      </c>
      <c r="E60" s="48">
        <v>28</v>
      </c>
      <c r="F60" s="60" t="s">
        <v>275</v>
      </c>
      <c r="G60" s="57">
        <v>47.806759</v>
      </c>
      <c r="H60" s="50">
        <f t="shared" si="2"/>
        <v>1338.589252</v>
      </c>
      <c r="I60" s="58"/>
    </row>
    <row r="61" ht="24" spans="1:9">
      <c r="A61" s="45">
        <v>54</v>
      </c>
      <c r="B61" s="53">
        <v>5271539</v>
      </c>
      <c r="C61" s="46" t="s">
        <v>92</v>
      </c>
      <c r="D61" s="47" t="s">
        <v>536</v>
      </c>
      <c r="E61" s="48">
        <v>32</v>
      </c>
      <c r="F61" s="60" t="s">
        <v>275</v>
      </c>
      <c r="G61" s="57">
        <v>48.821108</v>
      </c>
      <c r="H61" s="50">
        <f t="shared" si="2"/>
        <v>1562.275456</v>
      </c>
      <c r="I61" s="58"/>
    </row>
    <row r="62" ht="24" spans="1:9">
      <c r="A62" s="45">
        <v>55</v>
      </c>
      <c r="B62" s="46" t="s">
        <v>93</v>
      </c>
      <c r="C62" s="46" t="s">
        <v>94</v>
      </c>
      <c r="D62" s="47" t="s">
        <v>536</v>
      </c>
      <c r="E62" s="48">
        <v>10</v>
      </c>
      <c r="F62" s="60" t="s">
        <v>275</v>
      </c>
      <c r="G62" s="57">
        <v>44.9988</v>
      </c>
      <c r="H62" s="50">
        <f t="shared" si="2"/>
        <v>449.988</v>
      </c>
      <c r="I62" s="58"/>
    </row>
    <row r="63" ht="24" spans="1:9">
      <c r="A63" s="45">
        <v>56</v>
      </c>
      <c r="B63" s="53">
        <v>5303573</v>
      </c>
      <c r="C63" s="46" t="s">
        <v>95</v>
      </c>
      <c r="D63" s="47" t="s">
        <v>536</v>
      </c>
      <c r="E63" s="48">
        <v>25</v>
      </c>
      <c r="F63" s="60" t="s">
        <v>275</v>
      </c>
      <c r="G63" s="57">
        <v>47.0701</v>
      </c>
      <c r="H63" s="50">
        <f t="shared" si="2"/>
        <v>1176.7525</v>
      </c>
      <c r="I63" s="58"/>
    </row>
    <row r="64" ht="48" spans="1:9">
      <c r="A64" s="45">
        <v>57</v>
      </c>
      <c r="B64" s="46" t="s">
        <v>96</v>
      </c>
      <c r="C64" s="46" t="s">
        <v>97</v>
      </c>
      <c r="D64" s="47" t="s">
        <v>536</v>
      </c>
      <c r="E64" s="48">
        <v>4</v>
      </c>
      <c r="F64" s="60" t="s">
        <v>275</v>
      </c>
      <c r="G64" s="57">
        <v>316.6086</v>
      </c>
      <c r="H64" s="50">
        <f t="shared" si="2"/>
        <v>1266.4344</v>
      </c>
      <c r="I64" s="58"/>
    </row>
    <row r="65" ht="24" spans="1:9">
      <c r="A65" s="45">
        <v>58</v>
      </c>
      <c r="B65" s="46" t="s">
        <v>98</v>
      </c>
      <c r="C65" s="46" t="s">
        <v>99</v>
      </c>
      <c r="D65" s="47" t="s">
        <v>536</v>
      </c>
      <c r="E65" s="48">
        <v>20</v>
      </c>
      <c r="F65" s="60" t="s">
        <v>275</v>
      </c>
      <c r="G65" s="57">
        <v>110.5258</v>
      </c>
      <c r="H65" s="50">
        <f t="shared" si="2"/>
        <v>2210.516</v>
      </c>
      <c r="I65" s="58"/>
    </row>
    <row r="66" ht="24" spans="1:9">
      <c r="A66" s="45">
        <v>59</v>
      </c>
      <c r="B66" s="53">
        <v>5262617</v>
      </c>
      <c r="C66" s="46" t="s">
        <v>100</v>
      </c>
      <c r="D66" s="47" t="s">
        <v>536</v>
      </c>
      <c r="E66" s="48">
        <v>60</v>
      </c>
      <c r="F66" s="60" t="s">
        <v>275</v>
      </c>
      <c r="G66" s="57">
        <v>253.8704</v>
      </c>
      <c r="H66" s="50">
        <f t="shared" si="2"/>
        <v>15232.224</v>
      </c>
      <c r="I66" s="58"/>
    </row>
    <row r="67" ht="24" spans="1:9">
      <c r="A67" s="45">
        <v>60</v>
      </c>
      <c r="B67" s="53">
        <v>5262620</v>
      </c>
      <c r="C67" s="46" t="s">
        <v>101</v>
      </c>
      <c r="D67" s="47" t="s">
        <v>536</v>
      </c>
      <c r="E67" s="48">
        <v>13</v>
      </c>
      <c r="F67" s="60" t="s">
        <v>275</v>
      </c>
      <c r="G67" s="57">
        <v>326.9112</v>
      </c>
      <c r="H67" s="50">
        <f t="shared" si="2"/>
        <v>4249.8456</v>
      </c>
      <c r="I67" s="58"/>
    </row>
    <row r="68" ht="24" spans="1:9">
      <c r="A68" s="45">
        <v>61</v>
      </c>
      <c r="B68" s="53">
        <v>5263134</v>
      </c>
      <c r="C68" s="46" t="s">
        <v>102</v>
      </c>
      <c r="D68" s="47" t="s">
        <v>536</v>
      </c>
      <c r="E68" s="48">
        <v>20</v>
      </c>
      <c r="F68" s="60" t="s">
        <v>275</v>
      </c>
      <c r="G68" s="57">
        <v>16.269</v>
      </c>
      <c r="H68" s="50">
        <f t="shared" si="2"/>
        <v>325.38</v>
      </c>
      <c r="I68" s="58"/>
    </row>
    <row r="69" ht="24" spans="1:9">
      <c r="A69" s="45">
        <v>62</v>
      </c>
      <c r="B69" s="53">
        <v>5264443</v>
      </c>
      <c r="C69" s="46" t="s">
        <v>103</v>
      </c>
      <c r="D69" s="47" t="s">
        <v>536</v>
      </c>
      <c r="E69" s="48">
        <v>25</v>
      </c>
      <c r="F69" s="60" t="s">
        <v>275</v>
      </c>
      <c r="G69" s="57">
        <v>54.699183</v>
      </c>
      <c r="H69" s="50">
        <f t="shared" si="2"/>
        <v>1367.479575</v>
      </c>
      <c r="I69" s="58"/>
    </row>
    <row r="70" ht="36" spans="1:9">
      <c r="A70" s="45">
        <v>63</v>
      </c>
      <c r="B70" s="46" t="s">
        <v>104</v>
      </c>
      <c r="C70" s="46" t="s">
        <v>105</v>
      </c>
      <c r="D70" s="47" t="s">
        <v>536</v>
      </c>
      <c r="E70" s="48">
        <v>10</v>
      </c>
      <c r="F70" s="60" t="s">
        <v>275</v>
      </c>
      <c r="G70" s="57">
        <v>188.887</v>
      </c>
      <c r="H70" s="50">
        <f t="shared" si="2"/>
        <v>1888.87</v>
      </c>
      <c r="I70" s="58"/>
    </row>
    <row r="71" ht="24" spans="1:9">
      <c r="A71" s="45">
        <v>64</v>
      </c>
      <c r="B71" s="46" t="s">
        <v>106</v>
      </c>
      <c r="C71" s="46" t="s">
        <v>107</v>
      </c>
      <c r="D71" s="47" t="s">
        <v>536</v>
      </c>
      <c r="E71" s="48">
        <v>15</v>
      </c>
      <c r="F71" s="60" t="s">
        <v>275</v>
      </c>
      <c r="G71" s="57">
        <v>264.996</v>
      </c>
      <c r="H71" s="50">
        <f t="shared" si="2"/>
        <v>3974.94</v>
      </c>
      <c r="I71" s="58"/>
    </row>
    <row r="72" ht="24" spans="1:9">
      <c r="A72" s="45">
        <v>65</v>
      </c>
      <c r="B72" s="53">
        <v>5269358</v>
      </c>
      <c r="C72" s="46" t="s">
        <v>108</v>
      </c>
      <c r="D72" s="47" t="s">
        <v>536</v>
      </c>
      <c r="E72" s="48">
        <v>10</v>
      </c>
      <c r="F72" s="60" t="s">
        <v>275</v>
      </c>
      <c r="G72" s="57">
        <v>414.2215</v>
      </c>
      <c r="H72" s="50">
        <f t="shared" si="2"/>
        <v>4142.215</v>
      </c>
      <c r="I72" s="58"/>
    </row>
    <row r="73" ht="24" spans="1:9">
      <c r="A73" s="45">
        <v>66</v>
      </c>
      <c r="B73" s="53">
        <v>5338237</v>
      </c>
      <c r="C73" s="46" t="s">
        <v>109</v>
      </c>
      <c r="D73" s="47" t="s">
        <v>536</v>
      </c>
      <c r="E73" s="48">
        <v>10</v>
      </c>
      <c r="F73" s="60" t="s">
        <v>275</v>
      </c>
      <c r="G73" s="57">
        <v>503.734</v>
      </c>
      <c r="H73" s="50">
        <f t="shared" si="2"/>
        <v>5037.34</v>
      </c>
      <c r="I73" s="58"/>
    </row>
    <row r="74" ht="24" spans="1:9">
      <c r="A74" s="45">
        <v>67</v>
      </c>
      <c r="B74" s="46" t="s">
        <v>110</v>
      </c>
      <c r="C74" s="46" t="s">
        <v>111</v>
      </c>
      <c r="D74" s="47" t="s">
        <v>536</v>
      </c>
      <c r="E74" s="48">
        <v>8</v>
      </c>
      <c r="F74" s="60" t="s">
        <v>275</v>
      </c>
      <c r="G74" s="57">
        <v>106.913</v>
      </c>
      <c r="H74" s="50">
        <f t="shared" si="2"/>
        <v>855.304</v>
      </c>
      <c r="I74" s="58"/>
    </row>
    <row r="75" ht="36" spans="1:9">
      <c r="A75" s="45">
        <v>68</v>
      </c>
      <c r="B75" s="46" t="s">
        <v>112</v>
      </c>
      <c r="C75" s="46" t="s">
        <v>113</v>
      </c>
      <c r="D75" s="47" t="s">
        <v>536</v>
      </c>
      <c r="E75" s="48">
        <v>10</v>
      </c>
      <c r="F75" s="60" t="s">
        <v>275</v>
      </c>
      <c r="G75" s="57">
        <v>143.836</v>
      </c>
      <c r="H75" s="50">
        <f t="shared" si="2"/>
        <v>1438.36</v>
      </c>
      <c r="I75" s="58"/>
    </row>
    <row r="76" ht="24" spans="1:9">
      <c r="A76" s="45">
        <v>69</v>
      </c>
      <c r="B76" s="53">
        <v>5262500</v>
      </c>
      <c r="C76" s="46" t="s">
        <v>114</v>
      </c>
      <c r="D76" s="47" t="s">
        <v>536</v>
      </c>
      <c r="E76" s="48">
        <v>30</v>
      </c>
      <c r="F76" s="60" t="s">
        <v>275</v>
      </c>
      <c r="G76" s="57">
        <v>104.0963</v>
      </c>
      <c r="H76" s="50">
        <f t="shared" si="2"/>
        <v>3122.889</v>
      </c>
      <c r="I76" s="58"/>
    </row>
    <row r="77" ht="36" spans="1:9">
      <c r="A77" s="45">
        <v>70</v>
      </c>
      <c r="B77" s="46" t="s">
        <v>115</v>
      </c>
      <c r="C77" s="46" t="s">
        <v>116</v>
      </c>
      <c r="D77" s="47" t="s">
        <v>536</v>
      </c>
      <c r="E77" s="48">
        <v>80</v>
      </c>
      <c r="F77" s="60" t="s">
        <v>275</v>
      </c>
      <c r="G77" s="57">
        <v>116.5916</v>
      </c>
      <c r="H77" s="50">
        <f t="shared" si="2"/>
        <v>9327.328</v>
      </c>
      <c r="I77" s="58"/>
    </row>
    <row r="78" ht="36" spans="1:9">
      <c r="A78" s="45">
        <v>71</v>
      </c>
      <c r="B78" s="53">
        <v>5271282</v>
      </c>
      <c r="C78" s="46" t="s">
        <v>117</v>
      </c>
      <c r="D78" s="47" t="s">
        <v>536</v>
      </c>
      <c r="E78" s="48">
        <v>10</v>
      </c>
      <c r="F78" s="60" t="s">
        <v>275</v>
      </c>
      <c r="G78" s="57">
        <v>121.2827</v>
      </c>
      <c r="H78" s="50">
        <f t="shared" si="2"/>
        <v>1212.827</v>
      </c>
      <c r="I78" s="58"/>
    </row>
    <row r="79" ht="48" spans="1:9">
      <c r="A79" s="45">
        <v>72</v>
      </c>
      <c r="B79" s="46" t="s">
        <v>118</v>
      </c>
      <c r="C79" s="46" t="s">
        <v>119</v>
      </c>
      <c r="D79" s="47" t="s">
        <v>536</v>
      </c>
      <c r="E79" s="48">
        <v>30</v>
      </c>
      <c r="F79" s="60" t="s">
        <v>275</v>
      </c>
      <c r="G79" s="57">
        <v>992.3420115</v>
      </c>
      <c r="H79" s="50">
        <f t="shared" si="2"/>
        <v>29770.260345</v>
      </c>
      <c r="I79" s="58"/>
    </row>
    <row r="80" ht="36" spans="1:9">
      <c r="A80" s="45">
        <v>73</v>
      </c>
      <c r="B80" s="53">
        <v>5681404</v>
      </c>
      <c r="C80" s="46" t="s">
        <v>120</v>
      </c>
      <c r="D80" s="47" t="s">
        <v>536</v>
      </c>
      <c r="E80" s="48">
        <v>4</v>
      </c>
      <c r="F80" s="60" t="s">
        <v>275</v>
      </c>
      <c r="G80" s="57">
        <v>993.3884</v>
      </c>
      <c r="H80" s="50">
        <f t="shared" si="2"/>
        <v>3973.5536</v>
      </c>
      <c r="I80" s="58"/>
    </row>
    <row r="81" ht="48" spans="1:9">
      <c r="A81" s="45">
        <v>74</v>
      </c>
      <c r="B81" s="46" t="s">
        <v>121</v>
      </c>
      <c r="C81" s="46" t="s">
        <v>122</v>
      </c>
      <c r="D81" s="47" t="s">
        <v>536</v>
      </c>
      <c r="E81" s="48">
        <v>110</v>
      </c>
      <c r="F81" s="60" t="s">
        <v>275</v>
      </c>
      <c r="G81" s="57">
        <v>992.3420115</v>
      </c>
      <c r="H81" s="50">
        <f t="shared" si="2"/>
        <v>109157.621265</v>
      </c>
      <c r="I81" s="58"/>
    </row>
    <row r="82" ht="24" spans="1:9">
      <c r="A82" s="45">
        <v>75</v>
      </c>
      <c r="B82" s="53">
        <v>5284977</v>
      </c>
      <c r="C82" s="46" t="s">
        <v>123</v>
      </c>
      <c r="D82" s="47" t="s">
        <v>536</v>
      </c>
      <c r="E82" s="48">
        <v>100</v>
      </c>
      <c r="F82" s="60" t="s">
        <v>275</v>
      </c>
      <c r="G82" s="57">
        <v>3.41</v>
      </c>
      <c r="H82" s="50">
        <f t="shared" si="2"/>
        <v>341</v>
      </c>
      <c r="I82" s="58"/>
    </row>
    <row r="83" ht="24" spans="1:9">
      <c r="A83" s="45">
        <v>76</v>
      </c>
      <c r="B83" s="53">
        <v>5282085</v>
      </c>
      <c r="C83" s="46" t="s">
        <v>124</v>
      </c>
      <c r="D83" s="47" t="s">
        <v>536</v>
      </c>
      <c r="E83" s="48">
        <v>60</v>
      </c>
      <c r="F83" s="60" t="s">
        <v>275</v>
      </c>
      <c r="G83" s="57">
        <v>262.884</v>
      </c>
      <c r="H83" s="50">
        <f t="shared" si="2"/>
        <v>15773.04</v>
      </c>
      <c r="I83" s="58"/>
    </row>
    <row r="84" ht="48" spans="1:9">
      <c r="A84" s="45">
        <v>77</v>
      </c>
      <c r="B84" s="46" t="s">
        <v>125</v>
      </c>
      <c r="C84" s="46" t="s">
        <v>126</v>
      </c>
      <c r="D84" s="47" t="s">
        <v>536</v>
      </c>
      <c r="E84" s="48">
        <v>5</v>
      </c>
      <c r="F84" s="60" t="s">
        <v>275</v>
      </c>
      <c r="G84" s="57">
        <v>295.34967</v>
      </c>
      <c r="H84" s="50">
        <f t="shared" si="2"/>
        <v>1476.74835</v>
      </c>
      <c r="I84" s="58"/>
    </row>
    <row r="85" ht="24" spans="1:9">
      <c r="A85" s="45">
        <v>78</v>
      </c>
      <c r="B85" s="46" t="s">
        <v>127</v>
      </c>
      <c r="C85" s="46" t="s">
        <v>128</v>
      </c>
      <c r="D85" s="47" t="s">
        <v>536</v>
      </c>
      <c r="E85" s="48">
        <v>60</v>
      </c>
      <c r="F85" s="60" t="s">
        <v>275</v>
      </c>
      <c r="G85" s="57">
        <v>274.30452</v>
      </c>
      <c r="H85" s="50">
        <f t="shared" si="2"/>
        <v>16458.2712</v>
      </c>
      <c r="I85" s="58"/>
    </row>
    <row r="86" ht="24" spans="1:9">
      <c r="A86" s="45">
        <v>79</v>
      </c>
      <c r="B86" s="46" t="s">
        <v>129</v>
      </c>
      <c r="C86" s="46" t="s">
        <v>130</v>
      </c>
      <c r="D86" s="47" t="s">
        <v>536</v>
      </c>
      <c r="E86" s="48">
        <v>10</v>
      </c>
      <c r="F86" s="49" t="s">
        <v>291</v>
      </c>
      <c r="G86" s="57">
        <v>158.151</v>
      </c>
      <c r="H86" s="50">
        <f t="shared" si="2"/>
        <v>1581.51</v>
      </c>
      <c r="I86" s="58"/>
    </row>
    <row r="87" ht="15.75" spans="1:9">
      <c r="A87" s="45">
        <v>80</v>
      </c>
      <c r="B87" s="46" t="s">
        <v>131</v>
      </c>
      <c r="C87" s="46" t="s">
        <v>132</v>
      </c>
      <c r="D87" s="47" t="s">
        <v>536</v>
      </c>
      <c r="E87" s="48">
        <v>20</v>
      </c>
      <c r="F87" s="49" t="s">
        <v>291</v>
      </c>
      <c r="G87" s="57">
        <v>351.5855</v>
      </c>
      <c r="H87" s="50">
        <f t="shared" ref="H87:H130" si="3">G87*E87</f>
        <v>7031.71</v>
      </c>
      <c r="I87" s="58"/>
    </row>
    <row r="88" ht="24" spans="1:9">
      <c r="A88" s="45">
        <v>81</v>
      </c>
      <c r="B88" s="53">
        <v>5286672</v>
      </c>
      <c r="C88" s="46" t="s">
        <v>133</v>
      </c>
      <c r="D88" s="47" t="s">
        <v>536</v>
      </c>
      <c r="E88" s="48">
        <v>18</v>
      </c>
      <c r="F88" s="60" t="s">
        <v>275</v>
      </c>
      <c r="G88" s="57">
        <v>431.055009</v>
      </c>
      <c r="H88" s="50">
        <f t="shared" si="3"/>
        <v>7758.990162</v>
      </c>
      <c r="I88" s="58"/>
    </row>
    <row r="89" ht="36" spans="1:9">
      <c r="A89" s="45">
        <v>82</v>
      </c>
      <c r="B89" s="53">
        <v>5256607</v>
      </c>
      <c r="C89" s="46" t="s">
        <v>134</v>
      </c>
      <c r="D89" s="47" t="s">
        <v>536</v>
      </c>
      <c r="E89" s="48">
        <v>1</v>
      </c>
      <c r="F89" s="60" t="s">
        <v>275</v>
      </c>
      <c r="G89" s="57">
        <v>2700</v>
      </c>
      <c r="H89" s="50">
        <f t="shared" si="3"/>
        <v>2700</v>
      </c>
      <c r="I89" s="62" t="s">
        <v>539</v>
      </c>
    </row>
    <row r="90" ht="24" spans="1:9">
      <c r="A90" s="45">
        <v>83</v>
      </c>
      <c r="B90" s="46" t="s">
        <v>135</v>
      </c>
      <c r="C90" s="46" t="s">
        <v>136</v>
      </c>
      <c r="D90" s="47" t="s">
        <v>536</v>
      </c>
      <c r="E90" s="48">
        <v>2</v>
      </c>
      <c r="F90" s="60" t="s">
        <v>275</v>
      </c>
      <c r="G90" s="57">
        <v>2067</v>
      </c>
      <c r="H90" s="50">
        <f t="shared" si="3"/>
        <v>4134</v>
      </c>
      <c r="I90" s="58"/>
    </row>
    <row r="91" ht="24" spans="1:9">
      <c r="A91" s="45">
        <v>84</v>
      </c>
      <c r="B91" s="53">
        <v>4990601</v>
      </c>
      <c r="C91" s="46" t="s">
        <v>137</v>
      </c>
      <c r="D91" s="47" t="s">
        <v>536</v>
      </c>
      <c r="E91" s="48">
        <v>2</v>
      </c>
      <c r="F91" s="60" t="s">
        <v>275</v>
      </c>
      <c r="G91" s="57">
        <v>3969.263856</v>
      </c>
      <c r="H91" s="50">
        <f t="shared" si="3"/>
        <v>7938.527712</v>
      </c>
      <c r="I91" s="58"/>
    </row>
    <row r="92" ht="24" spans="1:9">
      <c r="A92" s="45">
        <v>85</v>
      </c>
      <c r="B92" s="46" t="s">
        <v>138</v>
      </c>
      <c r="C92" s="46" t="s">
        <v>139</v>
      </c>
      <c r="D92" s="47" t="s">
        <v>536</v>
      </c>
      <c r="E92" s="48">
        <v>30</v>
      </c>
      <c r="F92" s="60" t="s">
        <v>275</v>
      </c>
      <c r="G92" s="57">
        <v>120.5409</v>
      </c>
      <c r="H92" s="50">
        <f t="shared" si="3"/>
        <v>3616.227</v>
      </c>
      <c r="I92" s="58"/>
    </row>
    <row r="93" ht="24" spans="1:9">
      <c r="A93" s="45">
        <v>86</v>
      </c>
      <c r="B93" s="53">
        <v>5267974</v>
      </c>
      <c r="C93" s="46" t="s">
        <v>140</v>
      </c>
      <c r="D93" s="47" t="s">
        <v>536</v>
      </c>
      <c r="E93" s="48">
        <v>30</v>
      </c>
      <c r="F93" s="60" t="s">
        <v>275</v>
      </c>
      <c r="G93" s="57">
        <v>50.5505</v>
      </c>
      <c r="H93" s="50">
        <f t="shared" si="3"/>
        <v>1516.515</v>
      </c>
      <c r="I93" s="58"/>
    </row>
    <row r="94" ht="36" spans="1:9">
      <c r="A94" s="45">
        <v>87</v>
      </c>
      <c r="B94" s="53">
        <v>5270378</v>
      </c>
      <c r="C94" s="46" t="s">
        <v>141</v>
      </c>
      <c r="D94" s="47" t="s">
        <v>536</v>
      </c>
      <c r="E94" s="48">
        <v>8</v>
      </c>
      <c r="F94" s="60" t="s">
        <v>275</v>
      </c>
      <c r="G94" s="57">
        <v>218.7185</v>
      </c>
      <c r="H94" s="50">
        <f t="shared" si="3"/>
        <v>1749.748</v>
      </c>
      <c r="I94" s="58"/>
    </row>
    <row r="95" ht="24" spans="1:9">
      <c r="A95" s="45">
        <v>88</v>
      </c>
      <c r="B95" s="46" t="s">
        <v>142</v>
      </c>
      <c r="C95" s="46" t="s">
        <v>143</v>
      </c>
      <c r="D95" s="47" t="s">
        <v>536</v>
      </c>
      <c r="E95" s="48">
        <v>200</v>
      </c>
      <c r="F95" s="60" t="s">
        <v>275</v>
      </c>
      <c r="G95" s="57">
        <v>18.8208</v>
      </c>
      <c r="H95" s="50">
        <f t="shared" si="3"/>
        <v>3764.16</v>
      </c>
      <c r="I95" s="58"/>
    </row>
    <row r="96" ht="36" spans="1:9">
      <c r="A96" s="45">
        <v>89</v>
      </c>
      <c r="B96" s="53">
        <v>5265278</v>
      </c>
      <c r="C96" s="46" t="s">
        <v>144</v>
      </c>
      <c r="D96" s="47" t="s">
        <v>536</v>
      </c>
      <c r="E96" s="48">
        <v>50</v>
      </c>
      <c r="F96" s="60" t="s">
        <v>275</v>
      </c>
      <c r="G96" s="57">
        <v>23.099481</v>
      </c>
      <c r="H96" s="50">
        <f t="shared" si="3"/>
        <v>1154.97405</v>
      </c>
      <c r="I96" s="58"/>
    </row>
    <row r="97" ht="36" spans="1:9">
      <c r="A97" s="45">
        <v>90</v>
      </c>
      <c r="B97" s="46" t="s">
        <v>145</v>
      </c>
      <c r="C97" s="46" t="s">
        <v>146</v>
      </c>
      <c r="D97" s="47" t="s">
        <v>536</v>
      </c>
      <c r="E97" s="48">
        <v>150</v>
      </c>
      <c r="F97" s="60" t="s">
        <v>275</v>
      </c>
      <c r="G97" s="57">
        <v>85.2188</v>
      </c>
      <c r="H97" s="50">
        <f t="shared" si="3"/>
        <v>12782.82</v>
      </c>
      <c r="I97" s="58"/>
    </row>
    <row r="98" ht="36" spans="1:9">
      <c r="A98" s="45">
        <v>91</v>
      </c>
      <c r="B98" s="53">
        <v>3032105</v>
      </c>
      <c r="C98" s="46" t="s">
        <v>147</v>
      </c>
      <c r="D98" s="47" t="s">
        <v>536</v>
      </c>
      <c r="E98" s="48">
        <v>150</v>
      </c>
      <c r="F98" s="60" t="s">
        <v>275</v>
      </c>
      <c r="G98" s="57">
        <v>14.178</v>
      </c>
      <c r="H98" s="50">
        <f t="shared" si="3"/>
        <v>2126.7</v>
      </c>
      <c r="I98" s="58"/>
    </row>
    <row r="99" ht="36" spans="1:9">
      <c r="A99" s="45">
        <v>92</v>
      </c>
      <c r="B99" s="53">
        <v>5269331</v>
      </c>
      <c r="C99" s="46" t="s">
        <v>148</v>
      </c>
      <c r="D99" s="47" t="s">
        <v>536</v>
      </c>
      <c r="E99" s="48">
        <v>12</v>
      </c>
      <c r="F99" s="49" t="s">
        <v>291</v>
      </c>
      <c r="G99" s="57">
        <v>156.787092</v>
      </c>
      <c r="H99" s="50">
        <f t="shared" si="3"/>
        <v>1881.445104</v>
      </c>
      <c r="I99" s="58"/>
    </row>
    <row r="100" ht="36" spans="1:9">
      <c r="A100" s="45">
        <v>93</v>
      </c>
      <c r="B100" s="53">
        <v>5270336</v>
      </c>
      <c r="C100" s="46" t="s">
        <v>149</v>
      </c>
      <c r="D100" s="47" t="s">
        <v>536</v>
      </c>
      <c r="E100" s="48">
        <v>240</v>
      </c>
      <c r="F100" s="49" t="s">
        <v>291</v>
      </c>
      <c r="G100" s="57">
        <v>154.750896</v>
      </c>
      <c r="H100" s="50">
        <f t="shared" si="3"/>
        <v>37140.21504</v>
      </c>
      <c r="I100" s="58"/>
    </row>
    <row r="101" ht="36" spans="1:9">
      <c r="A101" s="45">
        <v>94</v>
      </c>
      <c r="B101" s="53">
        <v>5258754</v>
      </c>
      <c r="C101" s="46" t="s">
        <v>150</v>
      </c>
      <c r="D101" s="47" t="s">
        <v>536</v>
      </c>
      <c r="E101" s="48">
        <v>24</v>
      </c>
      <c r="F101" s="60" t="s">
        <v>275</v>
      </c>
      <c r="G101" s="57">
        <v>139.654977</v>
      </c>
      <c r="H101" s="50">
        <f t="shared" si="3"/>
        <v>3351.719448</v>
      </c>
      <c r="I101" s="58"/>
    </row>
    <row r="102" ht="24" spans="1:9">
      <c r="A102" s="45">
        <v>95</v>
      </c>
      <c r="B102" s="53">
        <v>4995266</v>
      </c>
      <c r="C102" s="46" t="s">
        <v>151</v>
      </c>
      <c r="D102" s="47" t="s">
        <v>536</v>
      </c>
      <c r="E102" s="48">
        <v>76</v>
      </c>
      <c r="F102" s="60" t="s">
        <v>275</v>
      </c>
      <c r="G102" s="57">
        <v>116.57108</v>
      </c>
      <c r="H102" s="50">
        <f t="shared" si="3"/>
        <v>8859.40208</v>
      </c>
      <c r="I102" s="58"/>
    </row>
    <row r="103" ht="24" spans="1:9">
      <c r="A103" s="45">
        <v>96</v>
      </c>
      <c r="B103" s="53">
        <v>5264426</v>
      </c>
      <c r="C103" s="46" t="s">
        <v>152</v>
      </c>
      <c r="D103" s="47" t="s">
        <v>536</v>
      </c>
      <c r="E103" s="48">
        <v>100</v>
      </c>
      <c r="F103" s="60" t="s">
        <v>275</v>
      </c>
      <c r="G103" s="57">
        <v>16.2775</v>
      </c>
      <c r="H103" s="50">
        <f t="shared" si="3"/>
        <v>1627.75</v>
      </c>
      <c r="I103" s="58"/>
    </row>
    <row r="104" ht="24" spans="1:9">
      <c r="A104" s="45">
        <v>97</v>
      </c>
      <c r="B104" s="53">
        <v>4983654</v>
      </c>
      <c r="C104" s="46" t="s">
        <v>153</v>
      </c>
      <c r="D104" s="47" t="s">
        <v>536</v>
      </c>
      <c r="E104" s="48">
        <v>100</v>
      </c>
      <c r="F104" s="60" t="s">
        <v>275</v>
      </c>
      <c r="G104" s="57">
        <v>13.549</v>
      </c>
      <c r="H104" s="50">
        <f t="shared" si="3"/>
        <v>1354.9</v>
      </c>
      <c r="I104" s="58"/>
    </row>
    <row r="105" ht="24" spans="1:9">
      <c r="A105" s="45">
        <v>98</v>
      </c>
      <c r="B105" s="53">
        <v>5261421</v>
      </c>
      <c r="C105" s="46" t="s">
        <v>154</v>
      </c>
      <c r="D105" s="47" t="s">
        <v>536</v>
      </c>
      <c r="E105" s="48">
        <v>80</v>
      </c>
      <c r="F105" s="60" t="s">
        <v>275</v>
      </c>
      <c r="G105" s="57">
        <v>15.5907</v>
      </c>
      <c r="H105" s="50">
        <f t="shared" si="3"/>
        <v>1247.256</v>
      </c>
      <c r="I105" s="58"/>
    </row>
    <row r="106" ht="36" spans="1:9">
      <c r="A106" s="45">
        <v>99</v>
      </c>
      <c r="B106" s="46" t="s">
        <v>155</v>
      </c>
      <c r="C106" s="46" t="s">
        <v>156</v>
      </c>
      <c r="D106" s="47" t="s">
        <v>536</v>
      </c>
      <c r="E106" s="48">
        <v>5</v>
      </c>
      <c r="F106" s="60" t="s">
        <v>275</v>
      </c>
      <c r="G106" s="57">
        <v>83.76291</v>
      </c>
      <c r="H106" s="50">
        <f t="shared" si="3"/>
        <v>418.81455</v>
      </c>
      <c r="I106" s="58"/>
    </row>
    <row r="107" ht="36" spans="1:9">
      <c r="A107" s="45">
        <v>100</v>
      </c>
      <c r="B107" s="46" t="s">
        <v>157</v>
      </c>
      <c r="C107" s="46" t="s">
        <v>158</v>
      </c>
      <c r="D107" s="47" t="s">
        <v>536</v>
      </c>
      <c r="E107" s="48">
        <v>30</v>
      </c>
      <c r="F107" s="60" t="s">
        <v>275</v>
      </c>
      <c r="G107" s="57">
        <v>61.579287</v>
      </c>
      <c r="H107" s="50">
        <f t="shared" si="3"/>
        <v>1847.37861</v>
      </c>
      <c r="I107" s="58"/>
    </row>
    <row r="108" ht="24" spans="1:9">
      <c r="A108" s="45">
        <v>101</v>
      </c>
      <c r="B108" s="53">
        <v>4946239</v>
      </c>
      <c r="C108" s="46" t="s">
        <v>159</v>
      </c>
      <c r="D108" s="47" t="s">
        <v>536</v>
      </c>
      <c r="E108" s="48">
        <v>10</v>
      </c>
      <c r="F108" s="60" t="s">
        <v>275</v>
      </c>
      <c r="G108" s="57">
        <v>40.36725</v>
      </c>
      <c r="H108" s="50">
        <f t="shared" si="3"/>
        <v>403.6725</v>
      </c>
      <c r="I108" s="58"/>
    </row>
    <row r="109" ht="24" spans="1:9">
      <c r="A109" s="45">
        <v>102</v>
      </c>
      <c r="B109" s="53">
        <v>5255312</v>
      </c>
      <c r="C109" s="46" t="s">
        <v>160</v>
      </c>
      <c r="D109" s="47" t="s">
        <v>536</v>
      </c>
      <c r="E109" s="48">
        <v>50</v>
      </c>
      <c r="F109" s="60" t="s">
        <v>275</v>
      </c>
      <c r="G109" s="57">
        <v>36.9096</v>
      </c>
      <c r="H109" s="50">
        <f t="shared" si="3"/>
        <v>1845.48</v>
      </c>
      <c r="I109" s="58"/>
    </row>
    <row r="110" ht="24" spans="1:9">
      <c r="A110" s="45">
        <v>103</v>
      </c>
      <c r="B110" s="53">
        <v>5266796</v>
      </c>
      <c r="C110" s="46" t="s">
        <v>161</v>
      </c>
      <c r="D110" s="47" t="s">
        <v>536</v>
      </c>
      <c r="E110" s="48">
        <v>100</v>
      </c>
      <c r="F110" s="60" t="s">
        <v>275</v>
      </c>
      <c r="G110" s="57">
        <v>7.327</v>
      </c>
      <c r="H110" s="50">
        <f t="shared" si="3"/>
        <v>732.7</v>
      </c>
      <c r="I110" s="58"/>
    </row>
    <row r="111" ht="24" spans="1:9">
      <c r="A111" s="45">
        <v>104</v>
      </c>
      <c r="B111" s="46" t="s">
        <v>162</v>
      </c>
      <c r="C111" s="46" t="s">
        <v>163</v>
      </c>
      <c r="D111" s="47" t="s">
        <v>536</v>
      </c>
      <c r="E111" s="48">
        <v>210</v>
      </c>
      <c r="F111" s="60" t="s">
        <v>275</v>
      </c>
      <c r="G111" s="57">
        <v>18.007182</v>
      </c>
      <c r="H111" s="50">
        <f t="shared" si="3"/>
        <v>3781.50822</v>
      </c>
      <c r="I111" s="58"/>
    </row>
    <row r="112" ht="24" spans="1:9">
      <c r="A112" s="45">
        <v>105</v>
      </c>
      <c r="B112" s="46" t="s">
        <v>164</v>
      </c>
      <c r="C112" s="46" t="s">
        <v>165</v>
      </c>
      <c r="D112" s="47" t="s">
        <v>536</v>
      </c>
      <c r="E112" s="48">
        <v>50</v>
      </c>
      <c r="F112" s="60" t="s">
        <v>275</v>
      </c>
      <c r="G112" s="57">
        <v>18.224136</v>
      </c>
      <c r="H112" s="50">
        <f t="shared" si="3"/>
        <v>911.2068</v>
      </c>
      <c r="I112" s="58"/>
    </row>
    <row r="113" ht="36" spans="1:10">
      <c r="A113" s="45">
        <v>106</v>
      </c>
      <c r="B113" s="53">
        <v>5263530</v>
      </c>
      <c r="C113" s="46" t="s">
        <v>166</v>
      </c>
      <c r="D113" s="47" t="s">
        <v>536</v>
      </c>
      <c r="E113" s="48">
        <v>70</v>
      </c>
      <c r="F113" s="60" t="s">
        <v>275</v>
      </c>
      <c r="G113" s="57">
        <v>15.929</v>
      </c>
      <c r="H113" s="50">
        <f t="shared" si="3"/>
        <v>1115.03</v>
      </c>
      <c r="I113" s="58"/>
    </row>
    <row r="114" ht="36" spans="1:10">
      <c r="A114" s="45">
        <v>107</v>
      </c>
      <c r="B114" s="53">
        <v>5256541</v>
      </c>
      <c r="C114" s="46" t="s">
        <v>167</v>
      </c>
      <c r="D114" s="47" t="s">
        <v>536</v>
      </c>
      <c r="E114" s="48">
        <v>10</v>
      </c>
      <c r="F114" s="60" t="s">
        <v>275</v>
      </c>
      <c r="G114" s="57">
        <v>54.852336</v>
      </c>
      <c r="H114" s="50">
        <f t="shared" si="3"/>
        <v>548.52336</v>
      </c>
      <c r="I114" s="58"/>
    </row>
    <row r="115" ht="24" spans="1:10">
      <c r="A115" s="45">
        <v>108</v>
      </c>
      <c r="B115" s="53">
        <v>4980644</v>
      </c>
      <c r="C115" s="46" t="s">
        <v>168</v>
      </c>
      <c r="D115" s="47" t="s">
        <v>536</v>
      </c>
      <c r="E115" s="48">
        <v>30</v>
      </c>
      <c r="F115" s="60" t="s">
        <v>275</v>
      </c>
      <c r="G115" s="57">
        <v>56.5488</v>
      </c>
      <c r="H115" s="50">
        <f t="shared" si="3"/>
        <v>1696.464</v>
      </c>
      <c r="I115" s="58"/>
    </row>
    <row r="116" ht="36" spans="1:10">
      <c r="A116" s="45">
        <v>109</v>
      </c>
      <c r="B116" s="53">
        <v>5254612</v>
      </c>
      <c r="C116" s="46" t="s">
        <v>169</v>
      </c>
      <c r="D116" s="47" t="s">
        <v>536</v>
      </c>
      <c r="E116" s="48">
        <v>20</v>
      </c>
      <c r="F116" s="60" t="s">
        <v>275</v>
      </c>
      <c r="G116" s="57">
        <v>38.4552</v>
      </c>
      <c r="H116" s="50">
        <f t="shared" si="3"/>
        <v>769.104</v>
      </c>
      <c r="I116" s="58"/>
    </row>
    <row r="117" ht="24" spans="1:10">
      <c r="A117" s="45">
        <v>110</v>
      </c>
      <c r="B117" s="53">
        <v>5262903</v>
      </c>
      <c r="C117" s="46" t="s">
        <v>170</v>
      </c>
      <c r="D117" s="47" t="s">
        <v>536</v>
      </c>
      <c r="E117" s="48">
        <v>50</v>
      </c>
      <c r="F117" s="60" t="s">
        <v>275</v>
      </c>
      <c r="G117" s="57">
        <v>20.923056</v>
      </c>
      <c r="H117" s="50">
        <f t="shared" si="3"/>
        <v>1046.1528</v>
      </c>
      <c r="I117" s="58"/>
    </row>
    <row r="118" ht="36" spans="1:10">
      <c r="A118" s="45">
        <v>111</v>
      </c>
      <c r="B118" s="46" t="s">
        <v>171</v>
      </c>
      <c r="C118" s="46" t="s">
        <v>172</v>
      </c>
      <c r="D118" s="47" t="s">
        <v>536</v>
      </c>
      <c r="E118" s="48">
        <v>100</v>
      </c>
      <c r="F118" s="60" t="s">
        <v>275</v>
      </c>
      <c r="G118" s="57">
        <v>2.42</v>
      </c>
      <c r="H118" s="50">
        <f t="shared" si="3"/>
        <v>242</v>
      </c>
      <c r="I118" s="58"/>
    </row>
    <row r="119" ht="24" spans="1:10">
      <c r="A119" s="45">
        <v>112</v>
      </c>
      <c r="B119" s="46" t="s">
        <v>173</v>
      </c>
      <c r="C119" s="46" t="s">
        <v>174</v>
      </c>
      <c r="D119" s="47" t="s">
        <v>536</v>
      </c>
      <c r="E119" s="48">
        <v>100</v>
      </c>
      <c r="F119" s="60" t="s">
        <v>275</v>
      </c>
      <c r="G119" s="57">
        <v>28.602</v>
      </c>
      <c r="H119" s="50">
        <f t="shared" si="3"/>
        <v>2860.2</v>
      </c>
      <c r="I119" s="58"/>
    </row>
    <row r="120" ht="36" spans="1:10">
      <c r="A120" s="45">
        <v>113</v>
      </c>
      <c r="B120" s="53">
        <v>5285501</v>
      </c>
      <c r="C120" s="46" t="s">
        <v>175</v>
      </c>
      <c r="D120" s="47" t="s">
        <v>536</v>
      </c>
      <c r="E120" s="48">
        <v>30</v>
      </c>
      <c r="F120" s="60" t="s">
        <v>275</v>
      </c>
      <c r="G120" s="57">
        <v>11.4762</v>
      </c>
      <c r="H120" s="50">
        <f t="shared" si="3"/>
        <v>344.286</v>
      </c>
      <c r="I120" s="62" t="s">
        <v>540</v>
      </c>
    </row>
    <row r="121" ht="36" spans="1:10">
      <c r="A121" s="45">
        <v>114</v>
      </c>
      <c r="B121" s="53">
        <v>5255538</v>
      </c>
      <c r="C121" s="46" t="s">
        <v>176</v>
      </c>
      <c r="D121" s="47" t="s">
        <v>536</v>
      </c>
      <c r="E121" s="48">
        <v>100</v>
      </c>
      <c r="F121" s="60" t="s">
        <v>275</v>
      </c>
      <c r="G121" s="57">
        <v>13.1495</v>
      </c>
      <c r="H121" s="50">
        <f t="shared" si="3"/>
        <v>1314.95</v>
      </c>
      <c r="I121" s="58"/>
    </row>
    <row r="122" ht="36" spans="1:10">
      <c r="A122" s="45">
        <v>115</v>
      </c>
      <c r="B122" s="53">
        <v>3932475</v>
      </c>
      <c r="C122" s="46" t="s">
        <v>177</v>
      </c>
      <c r="D122" s="47" t="s">
        <v>536</v>
      </c>
      <c r="E122" s="48">
        <v>100</v>
      </c>
      <c r="F122" s="60" t="s">
        <v>275</v>
      </c>
      <c r="G122" s="57">
        <v>5.032</v>
      </c>
      <c r="H122" s="50">
        <f t="shared" si="3"/>
        <v>503.2</v>
      </c>
      <c r="I122" s="58"/>
    </row>
    <row r="123" ht="24" spans="1:10">
      <c r="A123" s="45">
        <v>116</v>
      </c>
      <c r="B123" s="53">
        <v>5255313</v>
      </c>
      <c r="C123" s="46" t="s">
        <v>178</v>
      </c>
      <c r="D123" s="47" t="s">
        <v>536</v>
      </c>
      <c r="E123" s="48">
        <v>400</v>
      </c>
      <c r="F123" s="60" t="s">
        <v>275</v>
      </c>
      <c r="G123" s="57">
        <v>24.991632</v>
      </c>
      <c r="H123" s="50">
        <f t="shared" si="3"/>
        <v>9996.6528</v>
      </c>
      <c r="I123" s="58"/>
    </row>
    <row r="124" ht="36" spans="1:10">
      <c r="A124" s="45">
        <v>117</v>
      </c>
      <c r="B124" s="53">
        <v>5259557</v>
      </c>
      <c r="C124" s="46" t="s">
        <v>179</v>
      </c>
      <c r="D124" s="47" t="s">
        <v>536</v>
      </c>
      <c r="E124" s="48">
        <v>3</v>
      </c>
      <c r="F124" s="60" t="s">
        <v>275</v>
      </c>
      <c r="G124" s="57">
        <v>548.594046</v>
      </c>
      <c r="H124" s="50">
        <f t="shared" si="3"/>
        <v>1645.782138</v>
      </c>
      <c r="I124" s="58"/>
    </row>
    <row r="125" s="2" customFormat="1" ht="36" spans="1:10">
      <c r="A125" s="45">
        <v>118</v>
      </c>
      <c r="B125" s="63">
        <v>559170630</v>
      </c>
      <c r="C125" s="64" t="s">
        <v>180</v>
      </c>
      <c r="D125" s="47" t="s">
        <v>536</v>
      </c>
      <c r="E125" s="48">
        <v>60</v>
      </c>
      <c r="F125" s="49" t="s">
        <v>291</v>
      </c>
      <c r="G125" s="57">
        <v>226.8448</v>
      </c>
      <c r="H125" s="50">
        <f t="shared" si="3"/>
        <v>13610.688</v>
      </c>
      <c r="I125" s="62" t="s">
        <v>541</v>
      </c>
      <c r="J125" s="65"/>
    </row>
    <row r="126" ht="24" spans="1:10">
      <c r="A126" s="45">
        <v>119</v>
      </c>
      <c r="B126" s="53">
        <v>3974030</v>
      </c>
      <c r="C126" s="46" t="s">
        <v>181</v>
      </c>
      <c r="D126" s="47" t="s">
        <v>536</v>
      </c>
      <c r="E126" s="48">
        <v>20</v>
      </c>
      <c r="F126" s="60" t="s">
        <v>275</v>
      </c>
      <c r="G126" s="57">
        <v>62.427519</v>
      </c>
      <c r="H126" s="50">
        <f t="shared" si="3"/>
        <v>1248.55038</v>
      </c>
      <c r="I126" s="58"/>
    </row>
    <row r="127" ht="24" spans="1:10">
      <c r="A127" s="45">
        <v>120</v>
      </c>
      <c r="B127" s="46" t="s">
        <v>182</v>
      </c>
      <c r="C127" s="46" t="s">
        <v>183</v>
      </c>
      <c r="D127" s="47" t="s">
        <v>536</v>
      </c>
      <c r="E127" s="48">
        <v>10</v>
      </c>
      <c r="F127" s="60" t="s">
        <v>275</v>
      </c>
      <c r="G127" s="57">
        <v>72.301</v>
      </c>
      <c r="H127" s="50">
        <f t="shared" si="3"/>
        <v>723.01</v>
      </c>
      <c r="I127" s="58"/>
    </row>
    <row r="128" ht="21" customHeight="1" spans="1:10">
      <c r="A128" s="45">
        <v>121</v>
      </c>
      <c r="B128" s="46" t="s">
        <v>184</v>
      </c>
      <c r="C128" s="46" t="s">
        <v>185</v>
      </c>
      <c r="D128" s="47" t="s">
        <v>536</v>
      </c>
      <c r="E128" s="48">
        <v>30</v>
      </c>
      <c r="F128" s="60" t="s">
        <v>275</v>
      </c>
      <c r="G128" s="57">
        <v>143.0339</v>
      </c>
      <c r="H128" s="50">
        <f t="shared" si="3"/>
        <v>4291.017</v>
      </c>
      <c r="I128" s="58"/>
    </row>
    <row r="129" ht="15.75" spans="1:9">
      <c r="A129" s="45">
        <v>122</v>
      </c>
      <c r="B129" s="46" t="s">
        <v>186</v>
      </c>
      <c r="C129" s="46" t="s">
        <v>187</v>
      </c>
      <c r="D129" s="47" t="s">
        <v>536</v>
      </c>
      <c r="E129" s="48">
        <v>34</v>
      </c>
      <c r="F129" s="49" t="s">
        <v>291</v>
      </c>
      <c r="G129" s="57">
        <v>74.9105</v>
      </c>
      <c r="H129" s="50">
        <f t="shared" si="3"/>
        <v>2546.957</v>
      </c>
      <c r="I129" s="58"/>
    </row>
    <row r="130" ht="36" spans="1:9">
      <c r="A130" s="45">
        <v>123</v>
      </c>
      <c r="B130" s="53">
        <v>5254598</v>
      </c>
      <c r="C130" s="46" t="s">
        <v>188</v>
      </c>
      <c r="D130" s="47" t="s">
        <v>536</v>
      </c>
      <c r="E130" s="48">
        <v>20</v>
      </c>
      <c r="F130" s="60" t="s">
        <v>275</v>
      </c>
      <c r="G130" s="57">
        <v>63.28476</v>
      </c>
      <c r="H130" s="50">
        <f t="shared" si="3"/>
        <v>1265.6952</v>
      </c>
      <c r="I130" s="58"/>
    </row>
    <row r="131" ht="24" spans="1:9">
      <c r="A131" s="45">
        <v>124</v>
      </c>
      <c r="B131" s="46" t="s">
        <v>189</v>
      </c>
      <c r="C131" s="46" t="s">
        <v>190</v>
      </c>
      <c r="D131" s="47" t="s">
        <v>536</v>
      </c>
      <c r="E131" s="48">
        <v>20</v>
      </c>
      <c r="F131" s="60" t="s">
        <v>275</v>
      </c>
      <c r="G131" s="57">
        <v>53.346</v>
      </c>
      <c r="H131" s="50">
        <f t="shared" ref="H131:H167" si="4">G131*E131</f>
        <v>1066.92</v>
      </c>
      <c r="I131" s="58"/>
    </row>
    <row r="132" ht="24" spans="1:9">
      <c r="A132" s="45">
        <v>125</v>
      </c>
      <c r="B132" s="53">
        <v>5265369</v>
      </c>
      <c r="C132" s="46" t="s">
        <v>191</v>
      </c>
      <c r="D132" s="47" t="s">
        <v>536</v>
      </c>
      <c r="E132" s="48">
        <v>5</v>
      </c>
      <c r="F132" s="60" t="s">
        <v>275</v>
      </c>
      <c r="G132" s="57">
        <v>92.95902</v>
      </c>
      <c r="H132" s="50">
        <f t="shared" si="4"/>
        <v>464.7951</v>
      </c>
      <c r="I132" s="58"/>
    </row>
    <row r="133" ht="36" spans="1:9">
      <c r="A133" s="45">
        <v>126</v>
      </c>
      <c r="B133" s="53">
        <v>5254599</v>
      </c>
      <c r="C133" s="46" t="s">
        <v>192</v>
      </c>
      <c r="D133" s="47" t="s">
        <v>536</v>
      </c>
      <c r="E133" s="48">
        <v>70</v>
      </c>
      <c r="F133" s="60" t="s">
        <v>275</v>
      </c>
      <c r="G133" s="57">
        <v>71.01288</v>
      </c>
      <c r="H133" s="50">
        <f t="shared" si="4"/>
        <v>4970.9016</v>
      </c>
      <c r="I133" s="58"/>
    </row>
    <row r="134" ht="24" spans="1:9">
      <c r="A134" s="45">
        <v>127</v>
      </c>
      <c r="B134" s="53">
        <v>5265266</v>
      </c>
      <c r="C134" s="46" t="s">
        <v>193</v>
      </c>
      <c r="D134" s="47" t="s">
        <v>536</v>
      </c>
      <c r="E134" s="48">
        <v>120</v>
      </c>
      <c r="F134" s="60" t="s">
        <v>275</v>
      </c>
      <c r="G134" s="57">
        <v>15.29388</v>
      </c>
      <c r="H134" s="50">
        <f t="shared" si="4"/>
        <v>1835.2656</v>
      </c>
      <c r="I134" s="58"/>
    </row>
    <row r="135" ht="36" spans="1:9">
      <c r="A135" s="45">
        <v>128</v>
      </c>
      <c r="B135" s="53">
        <v>5255314</v>
      </c>
      <c r="C135" s="46" t="s">
        <v>194</v>
      </c>
      <c r="D135" s="47" t="s">
        <v>536</v>
      </c>
      <c r="E135" s="48">
        <v>280</v>
      </c>
      <c r="F135" s="60" t="s">
        <v>275</v>
      </c>
      <c r="G135" s="57">
        <v>7.0965</v>
      </c>
      <c r="H135" s="50">
        <f t="shared" si="4"/>
        <v>1987.02</v>
      </c>
      <c r="I135" s="58"/>
    </row>
    <row r="136" ht="36" spans="1:9">
      <c r="A136" s="45">
        <v>129</v>
      </c>
      <c r="B136" s="53">
        <v>4990818</v>
      </c>
      <c r="C136" s="46" t="s">
        <v>195</v>
      </c>
      <c r="D136" s="47" t="s">
        <v>536</v>
      </c>
      <c r="E136" s="48">
        <v>30</v>
      </c>
      <c r="F136" s="60" t="s">
        <v>275</v>
      </c>
      <c r="G136" s="57">
        <v>6.664</v>
      </c>
      <c r="H136" s="50">
        <f t="shared" si="4"/>
        <v>199.92</v>
      </c>
      <c r="I136" s="58"/>
    </row>
    <row r="137" ht="15.75" spans="1:9">
      <c r="A137" s="45">
        <v>130</v>
      </c>
      <c r="B137" s="46" t="s">
        <v>196</v>
      </c>
      <c r="C137" s="46" t="s">
        <v>197</v>
      </c>
      <c r="D137" s="47" t="s">
        <v>536</v>
      </c>
      <c r="E137" s="48">
        <v>24</v>
      </c>
      <c r="F137" s="60" t="s">
        <v>275</v>
      </c>
      <c r="G137" s="57">
        <v>46.563</v>
      </c>
      <c r="H137" s="50">
        <f t="shared" si="4"/>
        <v>1117.512</v>
      </c>
      <c r="I137" s="58"/>
    </row>
    <row r="138" ht="60" spans="1:9">
      <c r="A138" s="45">
        <v>131</v>
      </c>
      <c r="B138" s="46" t="s">
        <v>198</v>
      </c>
      <c r="C138" s="46" t="s">
        <v>199</v>
      </c>
      <c r="D138" s="47" t="s">
        <v>536</v>
      </c>
      <c r="E138" s="48">
        <v>40</v>
      </c>
      <c r="F138" s="60" t="s">
        <v>275</v>
      </c>
      <c r="G138" s="57">
        <v>338.256</v>
      </c>
      <c r="H138" s="50">
        <f t="shared" si="4"/>
        <v>13530.24</v>
      </c>
      <c r="I138" s="58"/>
    </row>
    <row r="139" ht="15.75" spans="1:9">
      <c r="A139" s="45">
        <v>132</v>
      </c>
      <c r="B139" s="46" t="s">
        <v>200</v>
      </c>
      <c r="C139" s="46" t="s">
        <v>201</v>
      </c>
      <c r="D139" s="47" t="s">
        <v>536</v>
      </c>
      <c r="E139" s="48">
        <v>4</v>
      </c>
      <c r="F139" s="60" t="s">
        <v>275</v>
      </c>
      <c r="G139" s="57">
        <v>643.3395</v>
      </c>
      <c r="H139" s="50">
        <f t="shared" si="4"/>
        <v>2573.358</v>
      </c>
      <c r="I139" s="58"/>
    </row>
    <row r="140" ht="36" spans="1:9">
      <c r="A140" s="45">
        <v>133</v>
      </c>
      <c r="B140" s="46" t="s">
        <v>202</v>
      </c>
      <c r="C140" s="46" t="s">
        <v>203</v>
      </c>
      <c r="D140" s="47" t="s">
        <v>536</v>
      </c>
      <c r="E140" s="48">
        <v>3</v>
      </c>
      <c r="F140" s="60" t="s">
        <v>275</v>
      </c>
      <c r="G140" s="57">
        <v>715.22451</v>
      </c>
      <c r="H140" s="50">
        <f t="shared" si="4"/>
        <v>2145.67353</v>
      </c>
      <c r="I140" s="58"/>
    </row>
    <row r="141" ht="24" spans="1:9">
      <c r="A141" s="45">
        <v>134</v>
      </c>
      <c r="B141" s="46" t="s">
        <v>204</v>
      </c>
      <c r="C141" s="46" t="s">
        <v>205</v>
      </c>
      <c r="D141" s="47" t="s">
        <v>536</v>
      </c>
      <c r="E141" s="48">
        <v>10</v>
      </c>
      <c r="F141" s="60" t="s">
        <v>275</v>
      </c>
      <c r="G141" s="57">
        <v>507.584385</v>
      </c>
      <c r="H141" s="50">
        <f t="shared" si="4"/>
        <v>5075.84385</v>
      </c>
      <c r="I141" s="58"/>
    </row>
    <row r="142" ht="48" spans="1:9">
      <c r="A142" s="45">
        <v>135</v>
      </c>
      <c r="B142" s="46" t="s">
        <v>206</v>
      </c>
      <c r="C142" s="46" t="s">
        <v>207</v>
      </c>
      <c r="D142" s="47" t="s">
        <v>536</v>
      </c>
      <c r="E142" s="48">
        <v>10</v>
      </c>
      <c r="F142" s="60" t="s">
        <v>275</v>
      </c>
      <c r="G142" s="57">
        <v>31.0675</v>
      </c>
      <c r="H142" s="50">
        <f t="shared" si="4"/>
        <v>310.675</v>
      </c>
      <c r="I142" s="58"/>
    </row>
    <row r="143" ht="24" spans="1:9">
      <c r="A143" s="45">
        <v>136</v>
      </c>
      <c r="B143" s="46" t="s">
        <v>208</v>
      </c>
      <c r="C143" s="46" t="s">
        <v>209</v>
      </c>
      <c r="D143" s="47" t="s">
        <v>536</v>
      </c>
      <c r="E143" s="48">
        <v>50</v>
      </c>
      <c r="F143" s="60" t="s">
        <v>275</v>
      </c>
      <c r="G143" s="57">
        <v>40.26348</v>
      </c>
      <c r="H143" s="50">
        <f t="shared" si="4"/>
        <v>2013.174</v>
      </c>
      <c r="I143" s="58"/>
    </row>
    <row r="144" ht="24" spans="1:9">
      <c r="A144" s="45">
        <v>137</v>
      </c>
      <c r="B144" s="53">
        <v>5261340</v>
      </c>
      <c r="C144" s="46" t="s">
        <v>210</v>
      </c>
      <c r="D144" s="47" t="s">
        <v>536</v>
      </c>
      <c r="E144" s="48">
        <v>150</v>
      </c>
      <c r="F144" s="60" t="s">
        <v>275</v>
      </c>
      <c r="G144" s="57">
        <v>8.2336</v>
      </c>
      <c r="H144" s="50">
        <f t="shared" si="4"/>
        <v>1235.04</v>
      </c>
      <c r="I144" s="58"/>
    </row>
    <row r="145" ht="36" spans="1:9">
      <c r="A145" s="45">
        <v>138</v>
      </c>
      <c r="B145" s="46" t="s">
        <v>211</v>
      </c>
      <c r="C145" s="46" t="s">
        <v>212</v>
      </c>
      <c r="D145" s="47" t="s">
        <v>536</v>
      </c>
      <c r="E145" s="48">
        <v>80</v>
      </c>
      <c r="F145" s="60" t="s">
        <v>275</v>
      </c>
      <c r="G145" s="57">
        <v>40.918932</v>
      </c>
      <c r="H145" s="50">
        <f t="shared" si="4"/>
        <v>3273.51456</v>
      </c>
      <c r="I145" s="58"/>
    </row>
    <row r="146" ht="36" spans="1:9">
      <c r="A146" s="45">
        <v>139</v>
      </c>
      <c r="B146" s="53">
        <v>5342941</v>
      </c>
      <c r="C146" s="46" t="s">
        <v>213</v>
      </c>
      <c r="D146" s="47" t="s">
        <v>536</v>
      </c>
      <c r="E146" s="48">
        <v>25</v>
      </c>
      <c r="F146" s="60" t="s">
        <v>275</v>
      </c>
      <c r="G146" s="57">
        <v>63.2478</v>
      </c>
      <c r="H146" s="50">
        <f t="shared" si="4"/>
        <v>1581.195</v>
      </c>
      <c r="I146" s="58"/>
    </row>
    <row r="147" ht="36" spans="1:9">
      <c r="A147" s="45">
        <v>140</v>
      </c>
      <c r="B147" s="53">
        <v>4983279</v>
      </c>
      <c r="C147" s="46" t="s">
        <v>214</v>
      </c>
      <c r="D147" s="47" t="s">
        <v>536</v>
      </c>
      <c r="E147" s="48">
        <v>20</v>
      </c>
      <c r="F147" s="60" t="s">
        <v>275</v>
      </c>
      <c r="G147" s="57">
        <v>32.453</v>
      </c>
      <c r="H147" s="50">
        <f t="shared" si="4"/>
        <v>649.06</v>
      </c>
      <c r="I147" s="58"/>
    </row>
    <row r="148" ht="24" spans="1:9">
      <c r="A148" s="45">
        <v>141</v>
      </c>
      <c r="B148" s="46" t="s">
        <v>215</v>
      </c>
      <c r="C148" s="46" t="s">
        <v>216</v>
      </c>
      <c r="D148" s="47" t="s">
        <v>536</v>
      </c>
      <c r="E148" s="48">
        <v>10</v>
      </c>
      <c r="F148" s="60" t="s">
        <v>275</v>
      </c>
      <c r="G148" s="57">
        <v>179.54244</v>
      </c>
      <c r="H148" s="50">
        <f t="shared" si="4"/>
        <v>1795.4244</v>
      </c>
      <c r="I148" s="58"/>
    </row>
    <row r="149" ht="36" spans="1:9">
      <c r="A149" s="45">
        <v>142</v>
      </c>
      <c r="B149" s="46" t="s">
        <v>217</v>
      </c>
      <c r="C149" s="46" t="s">
        <v>218</v>
      </c>
      <c r="D149" s="47" t="s">
        <v>536</v>
      </c>
      <c r="E149" s="48">
        <v>20</v>
      </c>
      <c r="F149" s="60" t="s">
        <v>275</v>
      </c>
      <c r="G149" s="57">
        <v>179.54244</v>
      </c>
      <c r="H149" s="50">
        <f t="shared" si="4"/>
        <v>3590.8488</v>
      </c>
      <c r="I149" s="61" t="s">
        <v>542</v>
      </c>
    </row>
    <row r="150" ht="36" spans="1:9">
      <c r="A150" s="45">
        <v>143</v>
      </c>
      <c r="B150" s="53">
        <v>5321114</v>
      </c>
      <c r="C150" s="46" t="s">
        <v>219</v>
      </c>
      <c r="D150" s="47" t="s">
        <v>536</v>
      </c>
      <c r="E150" s="48">
        <v>60</v>
      </c>
      <c r="F150" s="60" t="s">
        <v>275</v>
      </c>
      <c r="G150" s="57">
        <v>59.7284</v>
      </c>
      <c r="H150" s="50">
        <f t="shared" si="4"/>
        <v>3583.704</v>
      </c>
      <c r="I150" s="58"/>
    </row>
    <row r="151" ht="24" spans="1:9">
      <c r="A151" s="45">
        <v>144</v>
      </c>
      <c r="B151" s="46" t="s">
        <v>220</v>
      </c>
      <c r="C151" s="46" t="s">
        <v>221</v>
      </c>
      <c r="D151" s="47" t="s">
        <v>333</v>
      </c>
      <c r="E151" s="48">
        <v>4</v>
      </c>
      <c r="F151" s="60" t="s">
        <v>333</v>
      </c>
      <c r="G151" s="57" t="s">
        <v>333</v>
      </c>
      <c r="H151" s="50">
        <v>0</v>
      </c>
      <c r="I151" s="66" t="s">
        <v>543</v>
      </c>
    </row>
    <row r="152" ht="24" spans="1:9">
      <c r="A152" s="45">
        <v>145</v>
      </c>
      <c r="B152" s="46" t="s">
        <v>222</v>
      </c>
      <c r="C152" s="46" t="s">
        <v>223</v>
      </c>
      <c r="D152" s="47" t="s">
        <v>536</v>
      </c>
      <c r="E152" s="48">
        <v>7</v>
      </c>
      <c r="F152" s="60" t="s">
        <v>291</v>
      </c>
      <c r="G152" s="57">
        <v>1310.054</v>
      </c>
      <c r="H152" s="50">
        <f t="shared" si="4"/>
        <v>9170.378</v>
      </c>
      <c r="I152" s="58"/>
    </row>
    <row r="153" ht="24" spans="1:9">
      <c r="A153" s="45">
        <v>146</v>
      </c>
      <c r="B153" s="46" t="s">
        <v>224</v>
      </c>
      <c r="C153" s="46" t="s">
        <v>225</v>
      </c>
      <c r="D153" s="47" t="s">
        <v>536</v>
      </c>
      <c r="E153" s="48">
        <v>4</v>
      </c>
      <c r="F153" s="60" t="s">
        <v>275</v>
      </c>
      <c r="G153" s="57">
        <v>1280.9724</v>
      </c>
      <c r="H153" s="50">
        <f t="shared" si="4"/>
        <v>5123.8896</v>
      </c>
      <c r="I153" s="58"/>
    </row>
    <row r="154" ht="24" spans="1:9">
      <c r="A154" s="45">
        <v>147</v>
      </c>
      <c r="B154" s="46" t="s">
        <v>226</v>
      </c>
      <c r="C154" s="46" t="s">
        <v>227</v>
      </c>
      <c r="D154" s="47" t="s">
        <v>536</v>
      </c>
      <c r="E154" s="48">
        <v>4</v>
      </c>
      <c r="F154" s="60" t="s">
        <v>275</v>
      </c>
      <c r="G154" s="57">
        <v>1491.272</v>
      </c>
      <c r="H154" s="50">
        <f t="shared" si="4"/>
        <v>5965.088</v>
      </c>
      <c r="I154" s="58"/>
    </row>
    <row r="155" ht="24" spans="1:9">
      <c r="A155" s="45">
        <v>148</v>
      </c>
      <c r="B155" s="53">
        <v>3790137</v>
      </c>
      <c r="C155" s="46" t="s">
        <v>228</v>
      </c>
      <c r="D155" s="47" t="s">
        <v>536</v>
      </c>
      <c r="E155" s="48">
        <v>30</v>
      </c>
      <c r="F155" s="60" t="s">
        <v>275</v>
      </c>
      <c r="G155" s="57">
        <v>1199.0328</v>
      </c>
      <c r="H155" s="50">
        <f t="shared" si="4"/>
        <v>35970.984</v>
      </c>
      <c r="I155" s="58"/>
    </row>
    <row r="156" ht="24" spans="1:9">
      <c r="A156" s="45">
        <v>149</v>
      </c>
      <c r="B156" s="46" t="s">
        <v>229</v>
      </c>
      <c r="C156" s="46" t="s">
        <v>230</v>
      </c>
      <c r="D156" s="47" t="s">
        <v>536</v>
      </c>
      <c r="E156" s="48">
        <v>10</v>
      </c>
      <c r="F156" s="60" t="s">
        <v>275</v>
      </c>
      <c r="G156" s="57">
        <v>1439.66035</v>
      </c>
      <c r="H156" s="50">
        <f t="shared" si="4"/>
        <v>14396.6035</v>
      </c>
      <c r="I156" s="58"/>
    </row>
    <row r="157" ht="36" spans="1:9">
      <c r="A157" s="45">
        <v>150</v>
      </c>
      <c r="B157" s="53">
        <v>5370734</v>
      </c>
      <c r="C157" s="46" t="s">
        <v>231</v>
      </c>
      <c r="D157" s="47" t="s">
        <v>536</v>
      </c>
      <c r="E157" s="48">
        <v>2</v>
      </c>
      <c r="F157" s="60" t="s">
        <v>275</v>
      </c>
      <c r="G157" s="57">
        <v>4198.3388</v>
      </c>
      <c r="H157" s="50">
        <f t="shared" si="4"/>
        <v>8396.6776</v>
      </c>
      <c r="I157" s="58"/>
    </row>
    <row r="158" ht="24" spans="1:9">
      <c r="A158" s="45">
        <v>151</v>
      </c>
      <c r="B158" s="46" t="s">
        <v>232</v>
      </c>
      <c r="C158" s="46" t="s">
        <v>233</v>
      </c>
      <c r="D158" s="47" t="s">
        <v>536</v>
      </c>
      <c r="E158" s="48">
        <v>150</v>
      </c>
      <c r="F158" s="60" t="s">
        <v>275</v>
      </c>
      <c r="G158" s="57">
        <v>20.502</v>
      </c>
      <c r="H158" s="50">
        <f t="shared" si="4"/>
        <v>3075.3</v>
      </c>
      <c r="I158" s="58"/>
    </row>
    <row r="159" ht="24" spans="1:9">
      <c r="A159" s="45">
        <v>152</v>
      </c>
      <c r="B159" s="46" t="s">
        <v>234</v>
      </c>
      <c r="C159" s="46" t="s">
        <v>235</v>
      </c>
      <c r="D159" s="47" t="s">
        <v>536</v>
      </c>
      <c r="E159" s="48">
        <v>36</v>
      </c>
      <c r="F159" s="60" t="s">
        <v>275</v>
      </c>
      <c r="G159" s="57">
        <v>46.5</v>
      </c>
      <c r="H159" s="50">
        <f t="shared" si="4"/>
        <v>1674</v>
      </c>
      <c r="I159" s="58"/>
    </row>
    <row r="160" ht="25.5" spans="1:9">
      <c r="A160" s="45">
        <v>153</v>
      </c>
      <c r="B160" s="46" t="s">
        <v>236</v>
      </c>
      <c r="C160" s="46" t="s">
        <v>237</v>
      </c>
      <c r="D160" s="47" t="s">
        <v>536</v>
      </c>
      <c r="E160" s="48">
        <v>924</v>
      </c>
      <c r="F160" s="60" t="s">
        <v>275</v>
      </c>
      <c r="G160" s="57">
        <v>46</v>
      </c>
      <c r="H160" s="50">
        <f t="shared" si="4"/>
        <v>42504</v>
      </c>
      <c r="I160" s="59" t="s">
        <v>544</v>
      </c>
    </row>
    <row r="161" ht="36" spans="1:9">
      <c r="A161" s="45">
        <v>154</v>
      </c>
      <c r="B161" s="46" t="s">
        <v>238</v>
      </c>
      <c r="C161" s="46" t="s">
        <v>239</v>
      </c>
      <c r="D161" s="47" t="s">
        <v>536</v>
      </c>
      <c r="E161" s="48">
        <v>150</v>
      </c>
      <c r="F161" s="60" t="s">
        <v>275</v>
      </c>
      <c r="G161" s="57">
        <v>97.6698</v>
      </c>
      <c r="H161" s="50">
        <f t="shared" si="4"/>
        <v>14650.47</v>
      </c>
      <c r="I161" s="58"/>
    </row>
    <row r="162" ht="24" spans="1:9">
      <c r="A162" s="45">
        <v>155</v>
      </c>
      <c r="B162" s="46" t="s">
        <v>240</v>
      </c>
      <c r="C162" s="46" t="s">
        <v>241</v>
      </c>
      <c r="D162" s="47" t="s">
        <v>536</v>
      </c>
      <c r="E162" s="48">
        <v>30</v>
      </c>
      <c r="F162" s="60" t="s">
        <v>275</v>
      </c>
      <c r="G162" s="57">
        <v>79.6068</v>
      </c>
      <c r="H162" s="50">
        <f t="shared" si="4"/>
        <v>2388.204</v>
      </c>
      <c r="I162" s="58"/>
    </row>
    <row r="163" ht="24" spans="1:9">
      <c r="A163" s="45">
        <v>156</v>
      </c>
      <c r="B163" s="46" t="s">
        <v>242</v>
      </c>
      <c r="C163" s="46" t="s">
        <v>243</v>
      </c>
      <c r="D163" s="47" t="s">
        <v>536</v>
      </c>
      <c r="E163" s="48">
        <v>924</v>
      </c>
      <c r="F163" s="60" t="s">
        <v>275</v>
      </c>
      <c r="G163" s="57">
        <v>51</v>
      </c>
      <c r="H163" s="50">
        <f t="shared" si="4"/>
        <v>47124</v>
      </c>
      <c r="I163" s="59"/>
    </row>
    <row r="164" ht="24" spans="1:9">
      <c r="A164" s="45">
        <v>157</v>
      </c>
      <c r="B164" s="53">
        <v>5283275</v>
      </c>
      <c r="C164" s="46" t="s">
        <v>244</v>
      </c>
      <c r="D164" s="47" t="s">
        <v>536</v>
      </c>
      <c r="E164" s="48">
        <v>12</v>
      </c>
      <c r="F164" s="60" t="s">
        <v>275</v>
      </c>
      <c r="G164" s="57">
        <v>680</v>
      </c>
      <c r="H164" s="50">
        <f t="shared" si="4"/>
        <v>8160</v>
      </c>
      <c r="I164" s="58"/>
    </row>
    <row r="165" ht="24" spans="1:9">
      <c r="A165" s="45">
        <v>158</v>
      </c>
      <c r="B165" s="53">
        <v>5296723</v>
      </c>
      <c r="C165" s="46" t="s">
        <v>245</v>
      </c>
      <c r="D165" s="47" t="s">
        <v>536</v>
      </c>
      <c r="E165" s="48">
        <v>6</v>
      </c>
      <c r="F165" s="60" t="s">
        <v>275</v>
      </c>
      <c r="G165" s="57">
        <v>816</v>
      </c>
      <c r="H165" s="50">
        <f t="shared" si="4"/>
        <v>4896</v>
      </c>
      <c r="I165" s="58"/>
    </row>
    <row r="166" ht="24" spans="1:9">
      <c r="A166" s="45">
        <v>159</v>
      </c>
      <c r="B166" s="53">
        <v>5589197</v>
      </c>
      <c r="C166" s="46" t="s">
        <v>246</v>
      </c>
      <c r="D166" s="47" t="s">
        <v>536</v>
      </c>
      <c r="E166" s="48">
        <v>40</v>
      </c>
      <c r="F166" s="60" t="s">
        <v>275</v>
      </c>
      <c r="G166" s="57">
        <v>721.43148</v>
      </c>
      <c r="H166" s="50">
        <f t="shared" si="4"/>
        <v>28857.2592</v>
      </c>
      <c r="I166" s="58"/>
    </row>
    <row r="167" ht="24" spans="1:9">
      <c r="A167" s="45">
        <v>160</v>
      </c>
      <c r="B167" s="46" t="s">
        <v>247</v>
      </c>
      <c r="C167" s="46" t="s">
        <v>248</v>
      </c>
      <c r="D167" s="47" t="s">
        <v>536</v>
      </c>
      <c r="E167" s="48">
        <v>400</v>
      </c>
      <c r="F167" s="60" t="s">
        <v>275</v>
      </c>
      <c r="G167" s="57">
        <v>430</v>
      </c>
      <c r="H167" s="50">
        <f t="shared" si="4"/>
        <v>172000</v>
      </c>
      <c r="I167" s="58"/>
    </row>
    <row r="168" ht="36" spans="1:9">
      <c r="A168" s="45">
        <v>161</v>
      </c>
      <c r="B168" s="53">
        <v>5257526</v>
      </c>
      <c r="C168" s="46" t="s">
        <v>249</v>
      </c>
      <c r="D168" s="47" t="s">
        <v>536</v>
      </c>
      <c r="E168" s="48">
        <v>280</v>
      </c>
      <c r="F168" s="60" t="s">
        <v>275</v>
      </c>
      <c r="G168" s="57">
        <v>16.1352</v>
      </c>
      <c r="H168" s="50">
        <f t="shared" ref="H168:H175" si="5">G168*E168</f>
        <v>4517.856</v>
      </c>
      <c r="I168" s="58"/>
    </row>
    <row r="169" ht="24" spans="1:9">
      <c r="A169" s="45">
        <v>162</v>
      </c>
      <c r="B169" s="53">
        <v>3903652</v>
      </c>
      <c r="C169" s="46" t="s">
        <v>250</v>
      </c>
      <c r="D169" s="47" t="s">
        <v>536</v>
      </c>
      <c r="E169" s="48">
        <v>20</v>
      </c>
      <c r="F169" s="60" t="s">
        <v>275</v>
      </c>
      <c r="G169" s="57">
        <v>24.633</v>
      </c>
      <c r="H169" s="50">
        <f t="shared" si="5"/>
        <v>492.66</v>
      </c>
      <c r="I169" s="58"/>
    </row>
    <row r="170" ht="24" spans="1:9">
      <c r="A170" s="45">
        <v>163</v>
      </c>
      <c r="B170" s="53">
        <v>4982040</v>
      </c>
      <c r="C170" s="46" t="s">
        <v>251</v>
      </c>
      <c r="D170" s="47" t="s">
        <v>536</v>
      </c>
      <c r="E170" s="48">
        <v>50</v>
      </c>
      <c r="F170" s="60" t="s">
        <v>275</v>
      </c>
      <c r="G170" s="57">
        <v>89.849556</v>
      </c>
      <c r="H170" s="50">
        <f t="shared" si="5"/>
        <v>4492.4778</v>
      </c>
      <c r="I170" s="58"/>
    </row>
    <row r="171" ht="24" spans="1:9">
      <c r="A171" s="45">
        <v>164</v>
      </c>
      <c r="B171" s="46" t="s">
        <v>252</v>
      </c>
      <c r="C171" s="46" t="s">
        <v>253</v>
      </c>
      <c r="D171" s="47" t="s">
        <v>536</v>
      </c>
      <c r="E171" s="48">
        <v>200</v>
      </c>
      <c r="F171" s="60" t="s">
        <v>275</v>
      </c>
      <c r="G171" s="57">
        <v>121.6</v>
      </c>
      <c r="H171" s="50">
        <f t="shared" si="5"/>
        <v>24320</v>
      </c>
      <c r="I171" s="58"/>
    </row>
    <row r="172" ht="36" spans="1:9">
      <c r="A172" s="45">
        <v>165</v>
      </c>
      <c r="B172" s="46" t="s">
        <v>254</v>
      </c>
      <c r="C172" s="46" t="s">
        <v>255</v>
      </c>
      <c r="D172" s="47" t="s">
        <v>536</v>
      </c>
      <c r="E172" s="48">
        <v>16</v>
      </c>
      <c r="F172" s="60" t="s">
        <v>275</v>
      </c>
      <c r="G172" s="57">
        <v>129.2599</v>
      </c>
      <c r="H172" s="50">
        <f t="shared" si="5"/>
        <v>2068.1584</v>
      </c>
      <c r="I172" s="58"/>
    </row>
    <row r="173" ht="36" spans="1:9">
      <c r="A173" s="45">
        <v>166</v>
      </c>
      <c r="B173" s="46" t="s">
        <v>256</v>
      </c>
      <c r="C173" s="46" t="s">
        <v>257</v>
      </c>
      <c r="D173" s="47" t="s">
        <v>536</v>
      </c>
      <c r="E173" s="48">
        <v>5</v>
      </c>
      <c r="F173" s="60" t="s">
        <v>275</v>
      </c>
      <c r="G173" s="57">
        <v>199.605483</v>
      </c>
      <c r="H173" s="50">
        <f t="shared" si="5"/>
        <v>998.027415</v>
      </c>
      <c r="I173" s="58"/>
    </row>
    <row r="174" ht="24" spans="1:9">
      <c r="A174" s="45">
        <v>167</v>
      </c>
      <c r="B174" s="53">
        <v>4990291</v>
      </c>
      <c r="C174" s="46" t="s">
        <v>258</v>
      </c>
      <c r="D174" s="47" t="s">
        <v>536</v>
      </c>
      <c r="E174" s="48">
        <v>2</v>
      </c>
      <c r="F174" s="60" t="s">
        <v>275</v>
      </c>
      <c r="G174" s="57">
        <v>152.540388</v>
      </c>
      <c r="H174" s="50">
        <f t="shared" si="5"/>
        <v>305.080776</v>
      </c>
      <c r="I174" s="58"/>
    </row>
    <row r="175" ht="36" spans="1:9">
      <c r="A175" s="45">
        <v>168</v>
      </c>
      <c r="B175" s="53">
        <v>5318533</v>
      </c>
      <c r="C175" s="46" t="s">
        <v>259</v>
      </c>
      <c r="D175" s="47" t="s">
        <v>536</v>
      </c>
      <c r="E175" s="48">
        <v>30</v>
      </c>
      <c r="F175" s="60" t="s">
        <v>275</v>
      </c>
      <c r="G175" s="57">
        <v>267.923502</v>
      </c>
      <c r="H175" s="50">
        <f t="shared" si="5"/>
        <v>8037.70506</v>
      </c>
      <c r="I175" s="58"/>
    </row>
    <row r="176" ht="15.75" spans="1:9">
      <c r="A176" s="67" t="s">
        <v>545</v>
      </c>
      <c r="B176" s="68"/>
      <c r="C176" s="68"/>
      <c r="D176" s="67"/>
      <c r="E176" s="67"/>
      <c r="F176" s="67"/>
      <c r="G176" s="67"/>
      <c r="H176" s="69">
        <f>SUM(H8:H175)</f>
        <v>1791372.817184</v>
      </c>
      <c r="I176" s="69"/>
    </row>
    <row r="177" spans="1:9">
      <c r="A177" s="67" t="s">
        <v>546</v>
      </c>
      <c r="B177" s="70" t="s">
        <v>547</v>
      </c>
      <c r="C177" s="71"/>
      <c r="D177" s="71"/>
      <c r="E177" s="71"/>
      <c r="F177" s="71"/>
      <c r="G177" s="71"/>
      <c r="H177" s="71"/>
      <c r="I177" s="71"/>
    </row>
    <row r="178" spans="1:9">
      <c r="A178" s="67"/>
      <c r="B178" s="71"/>
      <c r="C178" s="71"/>
      <c r="D178" s="71"/>
      <c r="E178" s="71"/>
      <c r="F178" s="71"/>
      <c r="G178" s="71"/>
      <c r="H178" s="71"/>
      <c r="I178" s="71"/>
    </row>
    <row r="179" spans="1:9">
      <c r="A179" s="67"/>
      <c r="B179" s="71"/>
      <c r="C179" s="71"/>
      <c r="D179" s="71"/>
      <c r="E179" s="71"/>
      <c r="F179" s="71"/>
      <c r="G179" s="71"/>
      <c r="H179" s="71"/>
      <c r="I179" s="71"/>
    </row>
    <row r="180" spans="1:9">
      <c r="A180" s="67"/>
      <c r="B180" s="71"/>
      <c r="C180" s="71"/>
      <c r="D180" s="71"/>
      <c r="E180" s="71"/>
      <c r="F180" s="71"/>
      <c r="G180" s="71"/>
      <c r="H180" s="71"/>
      <c r="I180" s="71"/>
    </row>
    <row r="181" spans="1:9">
      <c r="A181" s="67"/>
      <c r="B181" s="71"/>
      <c r="C181" s="71"/>
      <c r="D181" s="71"/>
      <c r="E181" s="71"/>
      <c r="F181" s="71"/>
      <c r="G181" s="71"/>
      <c r="H181" s="71"/>
      <c r="I181" s="71"/>
    </row>
    <row r="182" spans="1:9">
      <c r="A182" s="67"/>
      <c r="B182" s="71"/>
      <c r="C182" s="71"/>
      <c r="D182" s="71"/>
      <c r="E182" s="71"/>
      <c r="F182" s="71"/>
      <c r="G182" s="71"/>
      <c r="H182" s="71"/>
      <c r="I182" s="71"/>
    </row>
  </sheetData>
  <mergeCells count="5">
    <mergeCell ref="A1:I1"/>
    <mergeCell ref="A2:I2"/>
    <mergeCell ref="A176:G176"/>
    <mergeCell ref="A177:A182"/>
    <mergeCell ref="B177:I182"/>
  </mergeCells>
  <conditionalFormatting sqref="B177">
    <cfRule type="duplicateValues" dxfId="0" priority="1"/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客户原表</vt:lpstr>
      <vt:lpstr>报价留底</vt:lpstr>
      <vt:lpstr>报价策略</vt:lpstr>
      <vt:lpstr>quotation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WPS_183</cp:lastModifiedBy>
  <cp:revision>1</cp:revision>
  <dcterms:created xsi:type="dcterms:W3CDTF">2025-09-17T15:43:00Z</dcterms:created>
  <cp:lastPrinted>2025-09-17T15:43:00Z</cp:lastPrinted>
  <dcterms:modified xsi:type="dcterms:W3CDTF">2026-06-10T07:39:05Z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C4DE4AB6E7DA416593ED6F2D601A25C1_13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